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Deepseek-R1-0528\"/>
    </mc:Choice>
  </mc:AlternateContent>
  <xr:revisionPtr revIDLastSave="0" documentId="13_ncr:1_{05DA90CF-3BBA-4FCC-9917-61EF3C2DDF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G9" i="1"/>
  <c r="G10" i="1"/>
  <c r="H10" i="1" s="1"/>
  <c r="G11" i="1"/>
  <c r="G12" i="1"/>
  <c r="H12" i="1" s="1"/>
  <c r="G13" i="1"/>
  <c r="H13" i="1" s="1"/>
  <c r="G14" i="1"/>
  <c r="H14" i="1" s="1"/>
  <c r="G15" i="1"/>
  <c r="H15" i="1" s="1"/>
  <c r="G16" i="1"/>
  <c r="G17" i="1"/>
  <c r="H17" i="1" s="1"/>
  <c r="G18" i="1"/>
  <c r="G19" i="1"/>
  <c r="H19" i="1" s="1"/>
  <c r="G20" i="1"/>
  <c r="H20" i="1" s="1"/>
  <c r="G21" i="1"/>
  <c r="H21" i="1" s="1"/>
  <c r="G22" i="1"/>
  <c r="H22" i="1" s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1" i="1"/>
  <c r="E22" i="1"/>
  <c r="G2" i="1"/>
  <c r="E2" i="1"/>
  <c r="H2" i="1" l="1"/>
  <c r="K2" i="1" s="1"/>
</calcChain>
</file>

<file path=xl/sharedStrings.xml><?xml version="1.0" encoding="utf-8"?>
<sst xmlns="http://schemas.openxmlformats.org/spreadsheetml/2006/main" count="49" uniqueCount="39">
  <si>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</si>
  <si>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</si>
  <si>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</si>
  <si>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</si>
  <si>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</si>
  <si>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</si>
  <si>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</si>
  <si>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</si>
  <si>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</si>
  <si>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</si>
  <si>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823 K</t>
    <phoneticPr fontId="1" type="noConversion"/>
  </si>
  <si>
    <t>13 M</t>
    <phoneticPr fontId="1" type="noConversion"/>
  </si>
  <si>
    <t>373 K</t>
    <phoneticPr fontId="1" type="noConversion"/>
  </si>
  <si>
    <t>100 C</t>
    <phoneticPr fontId="1" type="noConversion"/>
  </si>
  <si>
    <t>20 h</t>
    <phoneticPr fontId="1" type="noConversion"/>
  </si>
  <si>
    <t>20 hours</t>
    <phoneticPr fontId="1" type="noConversion"/>
  </si>
  <si>
    <t>overnight</t>
    <phoneticPr fontId="1" type="noConversion"/>
  </si>
  <si>
    <t>12 hours</t>
    <phoneticPr fontId="1" type="noConversion"/>
  </si>
  <si>
    <t>0.723 g</t>
    <phoneticPr fontId="1" type="noConversion"/>
  </si>
  <si>
    <t>0.002276 g</t>
    <phoneticPr fontId="1" type="noConversion"/>
  </si>
  <si>
    <t>10 g</t>
    <phoneticPr fontId="1" type="noConversion"/>
  </si>
  <si>
    <t>0.3 g</t>
    <phoneticPr fontId="1" type="noConversion"/>
  </si>
  <si>
    <t>393 K</t>
    <phoneticPr fontId="1" type="noConversion"/>
  </si>
  <si>
    <t>2h</t>
    <phoneticPr fontId="1" type="noConversion"/>
  </si>
  <si>
    <t>2 h</t>
    <phoneticPr fontId="1" type="noConversion"/>
  </si>
  <si>
    <t>12 h</t>
    <phoneticPr fontId="1" type="noConversion"/>
  </si>
  <si>
    <t>30 min</t>
    <phoneticPr fontId="1" type="noConversion"/>
  </si>
  <si>
    <t>873 K</t>
    <phoneticPr fontId="1" type="noConversion"/>
  </si>
  <si>
    <t>550 C</t>
    <phoneticPr fontId="1" type="noConversion"/>
  </si>
  <si>
    <t>6 h</t>
    <phoneticPr fontId="1" type="noConversion"/>
  </si>
  <si>
    <t>4 h</t>
    <phoneticPr fontId="1" type="noConversion"/>
  </si>
  <si>
    <t>0.1 g</t>
    <phoneticPr fontId="1" type="noConversion"/>
  </si>
  <si>
    <t>353 K</t>
    <phoneticPr fontId="1" type="noConversion"/>
  </si>
  <si>
    <t>1 h</t>
    <phoneticPr fontId="1" type="noConversion"/>
  </si>
  <si>
    <t>air</t>
    <phoneticPr fontId="1" type="noConversion"/>
  </si>
  <si>
    <t>623 K</t>
    <phoneticPr fontId="1" type="noConversion"/>
  </si>
  <si>
    <t>80 C</t>
    <phoneticPr fontId="1" type="noConversion"/>
  </si>
  <si>
    <t>H2/Ar</t>
    <phoneticPr fontId="1" type="noConversion"/>
  </si>
  <si>
    <t>300C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</si>
</sst>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2" sqref="F22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550</v>
      </c>
      <c r="E2">
        <f>ABS(D2-C2)/C2</f>
        <v>1</v>
      </c>
      <c r="F2">
        <v>1</v>
      </c>
      <c r="G2">
        <f>F2/SUM(F:F)</f>
        <v>4.7619047619047616E-2</v>
      </c>
      <c r="H2">
        <f>G2*(1-E2)</f>
        <v>0</v>
      </c>
      <c r="J2">
        <v>1</v>
      </c>
      <c r="K2">
        <f>SUM(H:H)</f>
        <v>0.53684807256235834</v>
      </c>
    </row>
    <row r="3" spans="1:11" x14ac:dyDescent="0.25">
      <c r="A3" t="s">
        <v>11</v>
      </c>
      <c r="B3" t="s">
        <v>11</v>
      </c>
      <c r="C3">
        <v>13</v>
      </c>
      <c r="D3">
        <v>13</v>
      </c>
      <c r="E3">
        <f t="shared" ref="E3:E22" si="0">ABS(D3-C3)/C3</f>
        <v>0</v>
      </c>
      <c r="F3">
        <v>1</v>
      </c>
      <c r="G3">
        <f t="shared" ref="G3:G22" si="1">F3/SUM(F:F)</f>
        <v>4.7619047619047616E-2</v>
      </c>
      <c r="H3">
        <f t="shared" ref="H3:H22" si="2">G3*(1-E3)</f>
        <v>4.7619047619047616E-2</v>
      </c>
    </row>
    <row r="4" spans="1:11" x14ac:dyDescent="0.25">
      <c r="A4" t="s">
        <v>12</v>
      </c>
      <c r="B4" t="s">
        <v>13</v>
      </c>
      <c r="C4">
        <v>100</v>
      </c>
      <c r="D4">
        <v>100</v>
      </c>
      <c r="E4">
        <f t="shared" si="0"/>
        <v>0</v>
      </c>
      <c r="F4">
        <v>1</v>
      </c>
      <c r="G4">
        <f t="shared" si="1"/>
        <v>4.7619047619047616E-2</v>
      </c>
      <c r="H4">
        <f t="shared" si="2"/>
        <v>4.7619047619047616E-2</v>
      </c>
    </row>
    <row r="5" spans="1:11" x14ac:dyDescent="0.25">
      <c r="A5" t="s">
        <v>14</v>
      </c>
      <c r="B5" t="s">
        <v>15</v>
      </c>
      <c r="C5">
        <v>20</v>
      </c>
      <c r="D5">
        <v>20</v>
      </c>
      <c r="E5">
        <f t="shared" si="0"/>
        <v>0</v>
      </c>
      <c r="F5">
        <v>1</v>
      </c>
      <c r="G5">
        <f t="shared" si="1"/>
        <v>4.7619047619047616E-2</v>
      </c>
      <c r="H5">
        <f t="shared" si="2"/>
        <v>4.7619047619047616E-2</v>
      </c>
    </row>
    <row r="6" spans="1:11" x14ac:dyDescent="0.25">
      <c r="A6" t="s">
        <v>13</v>
      </c>
      <c r="B6" t="s">
        <v>13</v>
      </c>
      <c r="C6">
        <v>100</v>
      </c>
      <c r="D6">
        <v>100</v>
      </c>
      <c r="E6">
        <f t="shared" si="0"/>
        <v>0</v>
      </c>
      <c r="F6">
        <v>1</v>
      </c>
      <c r="G6">
        <f t="shared" si="1"/>
        <v>4.7619047619047616E-2</v>
      </c>
      <c r="H6">
        <f t="shared" si="2"/>
        <v>4.7619047619047616E-2</v>
      </c>
    </row>
    <row r="7" spans="1:11" x14ac:dyDescent="0.25">
      <c r="A7" t="s">
        <v>16</v>
      </c>
      <c r="B7" t="s">
        <v>17</v>
      </c>
      <c r="C7">
        <v>12</v>
      </c>
      <c r="D7">
        <v>12</v>
      </c>
      <c r="E7">
        <f t="shared" si="0"/>
        <v>0</v>
      </c>
      <c r="F7">
        <v>1</v>
      </c>
      <c r="G7">
        <f t="shared" si="1"/>
        <v>4.7619047619047616E-2</v>
      </c>
      <c r="H7">
        <f t="shared" si="2"/>
        <v>4.7619047619047616E-2</v>
      </c>
    </row>
    <row r="8" spans="1:11" x14ac:dyDescent="0.25">
      <c r="A8" t="s">
        <v>19</v>
      </c>
      <c r="B8" t="s">
        <v>18</v>
      </c>
      <c r="C8">
        <v>2.2759999999999998E-3</v>
      </c>
      <c r="D8">
        <v>0.73199999999999998</v>
      </c>
      <c r="E8">
        <f t="shared" si="0"/>
        <v>320.61687170474522</v>
      </c>
      <c r="F8">
        <v>1</v>
      </c>
      <c r="G8">
        <f t="shared" si="1"/>
        <v>4.7619047619047616E-2</v>
      </c>
      <c r="H8">
        <v>0</v>
      </c>
    </row>
    <row r="9" spans="1:11" x14ac:dyDescent="0.25">
      <c r="A9" t="s">
        <v>21</v>
      </c>
      <c r="B9" t="s">
        <v>20</v>
      </c>
      <c r="C9">
        <v>0.3</v>
      </c>
      <c r="D9">
        <v>10</v>
      </c>
      <c r="E9">
        <f t="shared" si="0"/>
        <v>32.333333333333336</v>
      </c>
      <c r="F9">
        <v>1</v>
      </c>
      <c r="G9">
        <f t="shared" si="1"/>
        <v>4.7619047619047616E-2</v>
      </c>
      <c r="H9">
        <v>0</v>
      </c>
    </row>
    <row r="10" spans="1:11" x14ac:dyDescent="0.25">
      <c r="A10" t="s">
        <v>22</v>
      </c>
      <c r="B10" t="s">
        <v>13</v>
      </c>
      <c r="C10">
        <v>120</v>
      </c>
      <c r="D10">
        <v>100</v>
      </c>
      <c r="E10">
        <f t="shared" si="0"/>
        <v>0.16666666666666666</v>
      </c>
      <c r="F10">
        <v>1</v>
      </c>
      <c r="G10">
        <f t="shared" si="1"/>
        <v>4.7619047619047616E-2</v>
      </c>
      <c r="H10">
        <f t="shared" si="2"/>
        <v>3.968253968253968E-2</v>
      </c>
    </row>
    <row r="11" spans="1:11" x14ac:dyDescent="0.25">
      <c r="A11" t="s">
        <v>24</v>
      </c>
      <c r="B11" t="s">
        <v>25</v>
      </c>
      <c r="C11">
        <v>2</v>
      </c>
      <c r="D11">
        <v>12</v>
      </c>
      <c r="E11">
        <f t="shared" si="0"/>
        <v>5</v>
      </c>
      <c r="F11">
        <v>1</v>
      </c>
      <c r="G11">
        <f t="shared" si="1"/>
        <v>4.7619047619047616E-2</v>
      </c>
      <c r="H11">
        <v>0</v>
      </c>
    </row>
    <row r="12" spans="1:11" x14ac:dyDescent="0.25">
      <c r="A12" t="s">
        <v>26</v>
      </c>
      <c r="C12">
        <v>30</v>
      </c>
      <c r="E12">
        <f t="shared" si="0"/>
        <v>1</v>
      </c>
      <c r="F12">
        <v>1</v>
      </c>
      <c r="G12">
        <f t="shared" si="1"/>
        <v>4.7619047619047616E-2</v>
      </c>
      <c r="H12">
        <f t="shared" si="2"/>
        <v>0</v>
      </c>
    </row>
    <row r="13" spans="1:11" x14ac:dyDescent="0.25">
      <c r="A13" t="s">
        <v>34</v>
      </c>
      <c r="B13" t="s">
        <v>34</v>
      </c>
      <c r="E13">
        <v>0</v>
      </c>
      <c r="F13">
        <v>1</v>
      </c>
      <c r="G13">
        <f t="shared" si="1"/>
        <v>4.7619047619047616E-2</v>
      </c>
      <c r="H13">
        <f t="shared" si="2"/>
        <v>4.7619047619047616E-2</v>
      </c>
    </row>
    <row r="14" spans="1:11" x14ac:dyDescent="0.25">
      <c r="A14" t="s">
        <v>27</v>
      </c>
      <c r="B14" t="s">
        <v>28</v>
      </c>
      <c r="C14">
        <v>600</v>
      </c>
      <c r="D14">
        <v>550</v>
      </c>
      <c r="E14">
        <f t="shared" si="0"/>
        <v>8.3333333333333329E-2</v>
      </c>
      <c r="F14">
        <v>1</v>
      </c>
      <c r="G14">
        <f t="shared" si="1"/>
        <v>4.7619047619047616E-2</v>
      </c>
      <c r="H14">
        <f t="shared" si="2"/>
        <v>4.3650793650793648E-2</v>
      </c>
    </row>
    <row r="15" spans="1:11" x14ac:dyDescent="0.25">
      <c r="A15" t="s">
        <v>29</v>
      </c>
      <c r="B15" t="s">
        <v>30</v>
      </c>
      <c r="C15">
        <v>6</v>
      </c>
      <c r="D15">
        <v>4</v>
      </c>
      <c r="E15">
        <f t="shared" si="0"/>
        <v>0.33333333333333331</v>
      </c>
      <c r="F15">
        <v>1</v>
      </c>
      <c r="G15">
        <f t="shared" si="1"/>
        <v>4.7619047619047616E-2</v>
      </c>
      <c r="H15">
        <f t="shared" si="2"/>
        <v>3.1746031746031751E-2</v>
      </c>
    </row>
    <row r="16" spans="1:11" x14ac:dyDescent="0.25">
      <c r="A16" t="s">
        <v>31</v>
      </c>
      <c r="B16" t="s">
        <v>20</v>
      </c>
      <c r="C16">
        <v>0.1</v>
      </c>
      <c r="D16">
        <v>10</v>
      </c>
      <c r="E16">
        <f t="shared" si="0"/>
        <v>99</v>
      </c>
      <c r="F16">
        <v>1</v>
      </c>
      <c r="G16">
        <f t="shared" si="1"/>
        <v>4.7619047619047616E-2</v>
      </c>
      <c r="H16">
        <v>0</v>
      </c>
    </row>
    <row r="17" spans="1:8" x14ac:dyDescent="0.25">
      <c r="A17" t="s">
        <v>32</v>
      </c>
      <c r="B17" t="s">
        <v>36</v>
      </c>
      <c r="C17">
        <v>80</v>
      </c>
      <c r="D17">
        <v>80</v>
      </c>
      <c r="E17">
        <f t="shared" si="0"/>
        <v>0</v>
      </c>
      <c r="F17">
        <v>1</v>
      </c>
      <c r="G17">
        <f t="shared" si="1"/>
        <v>4.7619047619047616E-2</v>
      </c>
      <c r="H17">
        <f t="shared" si="2"/>
        <v>4.7619047619047616E-2</v>
      </c>
    </row>
    <row r="18" spans="1:8" x14ac:dyDescent="0.25">
      <c r="A18" t="s">
        <v>33</v>
      </c>
      <c r="B18" t="s">
        <v>17</v>
      </c>
      <c r="C18">
        <v>1</v>
      </c>
      <c r="D18">
        <v>12</v>
      </c>
      <c r="E18">
        <f t="shared" si="0"/>
        <v>11</v>
      </c>
      <c r="F18">
        <v>1</v>
      </c>
      <c r="G18">
        <f t="shared" si="1"/>
        <v>4.7619047619047616E-2</v>
      </c>
      <c r="H18">
        <v>0</v>
      </c>
    </row>
    <row r="19" spans="1:8" x14ac:dyDescent="0.25">
      <c r="A19" t="s">
        <v>26</v>
      </c>
      <c r="C19">
        <v>30</v>
      </c>
      <c r="E19">
        <f t="shared" si="0"/>
        <v>1</v>
      </c>
      <c r="F19">
        <v>1</v>
      </c>
      <c r="G19">
        <f t="shared" si="1"/>
        <v>4.7619047619047616E-2</v>
      </c>
      <c r="H19">
        <f t="shared" si="2"/>
        <v>0</v>
      </c>
    </row>
    <row r="20" spans="1:8" x14ac:dyDescent="0.25">
      <c r="A20" t="s">
        <v>34</v>
      </c>
      <c r="B20" t="s">
        <v>37</v>
      </c>
      <c r="E20">
        <v>1</v>
      </c>
      <c r="F20">
        <v>1</v>
      </c>
      <c r="G20">
        <f t="shared" si="1"/>
        <v>4.7619047619047616E-2</v>
      </c>
      <c r="H20">
        <f t="shared" si="2"/>
        <v>0</v>
      </c>
    </row>
    <row r="21" spans="1:8" x14ac:dyDescent="0.25">
      <c r="A21" t="s">
        <v>24</v>
      </c>
      <c r="B21" t="s">
        <v>23</v>
      </c>
      <c r="C21">
        <v>2</v>
      </c>
      <c r="D21">
        <v>2</v>
      </c>
      <c r="E21">
        <f t="shared" si="0"/>
        <v>0</v>
      </c>
      <c r="F21">
        <v>1</v>
      </c>
      <c r="G21">
        <f t="shared" si="1"/>
        <v>4.7619047619047616E-2</v>
      </c>
      <c r="H21">
        <f t="shared" si="2"/>
        <v>4.7619047619047616E-2</v>
      </c>
    </row>
    <row r="22" spans="1:8" x14ac:dyDescent="0.25">
      <c r="A22" t="s">
        <v>35</v>
      </c>
      <c r="B22" t="s">
        <v>38</v>
      </c>
      <c r="C22">
        <v>350</v>
      </c>
      <c r="D22">
        <v>300</v>
      </c>
      <c r="E22">
        <f t="shared" si="0"/>
        <v>0.14285714285714285</v>
      </c>
      <c r="F22">
        <v>1</v>
      </c>
      <c r="G22">
        <f t="shared" si="1"/>
        <v>4.7619047619047616E-2</v>
      </c>
      <c r="H22">
        <f t="shared" si="2"/>
        <v>4.0816326530612249E-2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2025-12-29T16:56:34Z</dcterms:modified>
</cp:coreProperties>
</file>