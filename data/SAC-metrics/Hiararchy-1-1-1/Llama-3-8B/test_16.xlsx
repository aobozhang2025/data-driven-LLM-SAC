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163EE626-13AE-4CCE-BF90-DF1DB3CFDDDE}" xr6:coauthVersionLast="47" xr6:coauthVersionMax="47" xr10:uidLastSave="{00000000-0000-0000-0000-000000000000}"/>
  <bookViews>
    <workbookView xWindow="228" yWindow="318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5" i="1"/>
  <c r="H6" i="1"/>
  <c r="H7" i="1"/>
  <c r="H8" i="1"/>
  <c r="H9" i="1"/>
  <c r="H10" i="1"/>
  <c r="H11" i="1"/>
  <c r="H12" i="1"/>
  <c r="H13" i="1"/>
  <c r="H14" i="1"/>
  <c r="H15" i="1"/>
  <c r="H16" i="1"/>
  <c r="E3" i="1"/>
  <c r="E4" i="1"/>
  <c r="E5" i="1"/>
  <c r="E7" i="1"/>
  <c r="E9" i="1"/>
  <c r="E10" i="1"/>
  <c r="E11" i="1"/>
  <c r="E12" i="1"/>
  <c r="E13" i="1"/>
  <c r="E15" i="1"/>
  <c r="E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E2" i="1"/>
  <c r="K2" i="1" l="1"/>
</calcChain>
</file>

<file path=xl/sharedStrings.xml><?xml version="1.0" encoding="utf-8"?>
<sst xmlns="http://schemas.openxmlformats.org/spreadsheetml/2006/main" count="30" uniqueCount="28">
  <si>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</si>
  <si>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</si>
  <si>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</si>
  <si>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</si>
  <si>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</si>
  <si>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</si>
  <si>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</si>
  <si>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</si>
  <si>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</si>
  <si>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</si>
  <si>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21.3 mg</t>
    <phoneticPr fontId="1" type="noConversion"/>
  </si>
  <si>
    <t>0.5 g</t>
    <phoneticPr fontId="1" type="noConversion"/>
  </si>
  <si>
    <t>3 mL</t>
    <phoneticPr fontId="1" type="noConversion"/>
  </si>
  <si>
    <t>20 g</t>
    <phoneticPr fontId="1" type="noConversion"/>
  </si>
  <si>
    <t>freeze dry</t>
    <phoneticPr fontId="1" type="noConversion"/>
  </si>
  <si>
    <t>24 h</t>
    <phoneticPr fontId="1" type="noConversion"/>
  </si>
  <si>
    <t>Ar</t>
    <phoneticPr fontId="1" type="noConversion"/>
  </si>
  <si>
    <t>1000 C</t>
    <phoneticPr fontId="1" type="noConversion"/>
  </si>
  <si>
    <t>4 h</t>
    <phoneticPr fontId="1" type="noConversion"/>
  </si>
  <si>
    <t>2 C / min</t>
    <phoneticPr fontId="1" type="noConversion"/>
  </si>
  <si>
    <t>0.5 M</t>
    <phoneticPr fontId="1" type="noConversion"/>
  </si>
  <si>
    <t>vacuum</t>
    <phoneticPr fontId="1" type="noConversion"/>
  </si>
  <si>
    <t>70 C</t>
    <phoneticPr fontId="1" type="noConversion"/>
  </si>
  <si>
    <t>50 mg</t>
    <phoneticPr fontId="1" type="noConversion"/>
  </si>
  <si>
    <t>250 mg</t>
    <phoneticPr fontId="1" type="noConversion"/>
  </si>
  <si>
    <t>25 mL</t>
    <phoneticPr fontId="1" type="noConversion"/>
  </si>
  <si>
    <t>900 C</t>
    <phoneticPr fontId="1" type="noConversion"/>
  </si>
  <si>
    <t>10 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</si>
</sst>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23</v>
      </c>
      <c r="C2">
        <v>21.3</v>
      </c>
      <c r="D2">
        <v>50</v>
      </c>
      <c r="E2">
        <f>ABS(D2-C2)/C2</f>
        <v>1.3474178403755868</v>
      </c>
      <c r="F2">
        <v>2</v>
      </c>
      <c r="G2">
        <f>F2/SUM(F:F)</f>
        <v>7.1428571428571425E-2</v>
      </c>
      <c r="H2">
        <v>0</v>
      </c>
      <c r="J2">
        <v>1</v>
      </c>
      <c r="K2">
        <f>SUM(H:H)</f>
        <v>0.13660714285714282</v>
      </c>
    </row>
    <row r="3" spans="1:11" x14ac:dyDescent="0.25">
      <c r="A3" t="s">
        <v>11</v>
      </c>
      <c r="B3" t="s">
        <v>24</v>
      </c>
      <c r="C3">
        <v>0.5</v>
      </c>
      <c r="D3">
        <v>0.25</v>
      </c>
      <c r="E3">
        <f t="shared" ref="E3:E16" si="0">ABS(D3-C3)/C3</f>
        <v>0.5</v>
      </c>
      <c r="F3">
        <v>2</v>
      </c>
      <c r="G3">
        <f t="shared" ref="G3:G16" si="1">F3/SUM(F:F)</f>
        <v>7.1428571428571425E-2</v>
      </c>
      <c r="H3">
        <f t="shared" ref="H3:H16" si="2">G3*(1-E3)</f>
        <v>3.5714285714285712E-2</v>
      </c>
    </row>
    <row r="4" spans="1:11" x14ac:dyDescent="0.25">
      <c r="A4" t="s">
        <v>12</v>
      </c>
      <c r="B4" t="s">
        <v>25</v>
      </c>
      <c r="C4">
        <v>3</v>
      </c>
      <c r="D4">
        <v>25</v>
      </c>
      <c r="E4">
        <f t="shared" si="0"/>
        <v>7.333333333333333</v>
      </c>
      <c r="F4">
        <v>2</v>
      </c>
      <c r="G4">
        <f t="shared" si="1"/>
        <v>7.1428571428571425E-2</v>
      </c>
      <c r="H4">
        <v>0</v>
      </c>
    </row>
    <row r="5" spans="1:11" x14ac:dyDescent="0.25">
      <c r="A5" t="s">
        <v>13</v>
      </c>
      <c r="C5">
        <v>20</v>
      </c>
      <c r="E5">
        <f t="shared" si="0"/>
        <v>1</v>
      </c>
      <c r="F5">
        <v>2</v>
      </c>
      <c r="G5">
        <f t="shared" si="1"/>
        <v>7.1428571428571425E-2</v>
      </c>
      <c r="H5">
        <f t="shared" si="2"/>
        <v>0</v>
      </c>
    </row>
    <row r="6" spans="1:11" x14ac:dyDescent="0.25">
      <c r="A6" t="s">
        <v>14</v>
      </c>
      <c r="E6">
        <v>1</v>
      </c>
      <c r="F6">
        <v>3</v>
      </c>
      <c r="G6">
        <f t="shared" si="1"/>
        <v>0.10714285714285714</v>
      </c>
      <c r="H6">
        <f t="shared" si="2"/>
        <v>0</v>
      </c>
    </row>
    <row r="7" spans="1:11" x14ac:dyDescent="0.25">
      <c r="A7" t="s">
        <v>15</v>
      </c>
      <c r="C7">
        <v>24</v>
      </c>
      <c r="E7">
        <f t="shared" si="0"/>
        <v>1</v>
      </c>
      <c r="F7">
        <v>1</v>
      </c>
      <c r="G7">
        <f t="shared" si="1"/>
        <v>3.5714285714285712E-2</v>
      </c>
      <c r="H7">
        <f t="shared" si="2"/>
        <v>0</v>
      </c>
    </row>
    <row r="8" spans="1:11" x14ac:dyDescent="0.25">
      <c r="A8" t="s">
        <v>16</v>
      </c>
      <c r="E8">
        <v>1</v>
      </c>
      <c r="F8">
        <v>3</v>
      </c>
      <c r="G8">
        <f t="shared" si="1"/>
        <v>0.10714285714285714</v>
      </c>
      <c r="H8">
        <f t="shared" si="2"/>
        <v>0</v>
      </c>
    </row>
    <row r="9" spans="1:11" x14ac:dyDescent="0.25">
      <c r="A9" t="s">
        <v>17</v>
      </c>
      <c r="B9" t="s">
        <v>26</v>
      </c>
      <c r="C9">
        <v>1000</v>
      </c>
      <c r="D9">
        <v>900</v>
      </c>
      <c r="E9">
        <f t="shared" si="0"/>
        <v>0.1</v>
      </c>
      <c r="F9">
        <v>3</v>
      </c>
      <c r="G9">
        <f t="shared" si="1"/>
        <v>0.10714285714285714</v>
      </c>
      <c r="H9">
        <f t="shared" si="2"/>
        <v>9.6428571428571419E-2</v>
      </c>
    </row>
    <row r="10" spans="1:11" x14ac:dyDescent="0.25">
      <c r="A10" t="s">
        <v>18</v>
      </c>
      <c r="B10" t="s">
        <v>27</v>
      </c>
      <c r="C10">
        <v>240</v>
      </c>
      <c r="D10">
        <v>10</v>
      </c>
      <c r="E10">
        <f t="shared" si="0"/>
        <v>0.95833333333333337</v>
      </c>
      <c r="F10">
        <v>3</v>
      </c>
      <c r="G10">
        <f t="shared" si="1"/>
        <v>0.10714285714285714</v>
      </c>
      <c r="H10">
        <f t="shared" si="2"/>
        <v>4.4642857142857097E-3</v>
      </c>
    </row>
    <row r="11" spans="1:11" x14ac:dyDescent="0.25">
      <c r="A11" t="s">
        <v>19</v>
      </c>
      <c r="C11">
        <v>2</v>
      </c>
      <c r="E11">
        <f t="shared" si="0"/>
        <v>1</v>
      </c>
      <c r="F11">
        <v>2</v>
      </c>
      <c r="G11">
        <f t="shared" si="1"/>
        <v>7.1428571428571425E-2</v>
      </c>
      <c r="H11">
        <f t="shared" si="2"/>
        <v>0</v>
      </c>
    </row>
    <row r="12" spans="1:11" x14ac:dyDescent="0.25">
      <c r="A12" t="s">
        <v>20</v>
      </c>
      <c r="C12">
        <v>0.5</v>
      </c>
      <c r="E12">
        <f t="shared" si="0"/>
        <v>1</v>
      </c>
      <c r="F12">
        <v>1</v>
      </c>
      <c r="G12">
        <f t="shared" si="1"/>
        <v>3.5714285714285712E-2</v>
      </c>
      <c r="H12">
        <f t="shared" si="2"/>
        <v>0</v>
      </c>
    </row>
    <row r="13" spans="1:11" x14ac:dyDescent="0.25">
      <c r="A13" t="s">
        <v>15</v>
      </c>
      <c r="C13">
        <v>24</v>
      </c>
      <c r="E13">
        <f t="shared" si="0"/>
        <v>1</v>
      </c>
      <c r="F13">
        <v>1</v>
      </c>
      <c r="G13">
        <f t="shared" si="1"/>
        <v>3.5714285714285712E-2</v>
      </c>
      <c r="H13">
        <f t="shared" si="2"/>
        <v>0</v>
      </c>
    </row>
    <row r="14" spans="1:11" x14ac:dyDescent="0.25">
      <c r="A14" t="s">
        <v>21</v>
      </c>
      <c r="E14">
        <v>1</v>
      </c>
      <c r="F14">
        <v>1</v>
      </c>
      <c r="G14">
        <f t="shared" si="1"/>
        <v>3.5714285714285712E-2</v>
      </c>
      <c r="H14">
        <f t="shared" si="2"/>
        <v>0</v>
      </c>
    </row>
    <row r="15" spans="1:11" x14ac:dyDescent="0.25">
      <c r="A15" t="s">
        <v>22</v>
      </c>
      <c r="C15">
        <v>70</v>
      </c>
      <c r="E15">
        <f t="shared" si="0"/>
        <v>1</v>
      </c>
      <c r="F15">
        <v>1</v>
      </c>
      <c r="G15">
        <f t="shared" si="1"/>
        <v>3.5714285714285712E-2</v>
      </c>
      <c r="H15">
        <f t="shared" si="2"/>
        <v>0</v>
      </c>
    </row>
    <row r="16" spans="1:11" x14ac:dyDescent="0.25">
      <c r="A16" t="s">
        <v>15</v>
      </c>
      <c r="C16">
        <v>24</v>
      </c>
      <c r="E16">
        <f t="shared" si="0"/>
        <v>1</v>
      </c>
      <c r="F16">
        <v>1</v>
      </c>
      <c r="G16">
        <f t="shared" si="1"/>
        <v>3.5714285714285712E-2</v>
      </c>
      <c r="H16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2025-08-06T12:30:45Z</dcterms:modified>
</cp:coreProperties>
</file>