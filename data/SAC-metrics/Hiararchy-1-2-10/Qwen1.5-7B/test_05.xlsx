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Qwen1.5-7B\"/>
    </mc:Choice>
  </mc:AlternateContent>
  <xr:revisionPtr revIDLastSave="0" documentId="13_ncr:1_{171A4E91-54DC-4675-B1B7-FDAF098B20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E3" i="1"/>
  <c r="E4" i="1"/>
  <c r="E5" i="1"/>
  <c r="E6" i="1"/>
  <c r="E7" i="1"/>
  <c r="E8" i="1"/>
  <c r="E9" i="1"/>
  <c r="E10" i="1"/>
  <c r="E12" i="1"/>
  <c r="E13" i="1"/>
  <c r="E14" i="1"/>
  <c r="E2" i="1"/>
  <c r="G2" i="1"/>
  <c r="K2" i="1" l="1"/>
</calcChain>
</file>

<file path=xl/sharedStrings.xml><?xml version="1.0" encoding="utf-8"?>
<sst xmlns="http://schemas.openxmlformats.org/spreadsheetml/2006/main" count="33" uniqueCount="30">
  <si>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</si>
  <si>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</si>
  <si>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</si>
  <si>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</si>
  <si>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</si>
  <si>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</si>
  <si>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</si>
  <si>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</si>
  <si>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</si>
  <si>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</si>
  <si>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0.84 g</t>
  </si>
  <si>
    <t>0.014 g</t>
  </si>
  <si>
    <t>0.028 g</t>
  </si>
  <si>
    <t>28 mL</t>
  </si>
  <si>
    <t>12.712 g</t>
  </si>
  <si>
    <t>196 mL</t>
  </si>
  <si>
    <t>30 mL</t>
  </si>
  <si>
    <t>12 hours</t>
  </si>
  <si>
    <t>five times</t>
  </si>
  <si>
    <t>vacuum overnight</t>
  </si>
  <si>
    <t>900 C</t>
  </si>
  <si>
    <t>1000 C</t>
  </si>
  <si>
    <t>2 h</t>
  </si>
  <si>
    <t>5 C / min</t>
  </si>
  <si>
    <t>N2</t>
  </si>
  <si>
    <t>1.8 g</t>
    <phoneticPr fontId="1" type="noConversion"/>
  </si>
  <si>
    <t>0.15 g</t>
    <phoneticPr fontId="1" type="noConversion"/>
  </si>
  <si>
    <t>2.25 g</t>
    <phoneticPr fontId="1" type="noConversion"/>
  </si>
  <si>
    <t>12 h</t>
    <phoneticPr fontId="1" type="noConversion"/>
  </si>
  <si>
    <t>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</si>
</sst>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F17" sqref="F1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25</v>
      </c>
      <c r="C2">
        <v>0.84</v>
      </c>
      <c r="D2">
        <v>1.8</v>
      </c>
      <c r="E2">
        <f>ABS(D2-C2)/C2</f>
        <v>1.142857142857143</v>
      </c>
      <c r="F2">
        <v>2</v>
      </c>
      <c r="G2">
        <f>F2/SUM(F:F)</f>
        <v>4.1666666666666664E-2</v>
      </c>
      <c r="H2">
        <v>0</v>
      </c>
      <c r="J2">
        <v>1</v>
      </c>
      <c r="K2">
        <f>SUM(H:H)</f>
        <v>0.487628133730242</v>
      </c>
    </row>
    <row r="3" spans="1:11" x14ac:dyDescent="0.25">
      <c r="A3" t="s">
        <v>11</v>
      </c>
      <c r="B3" t="s">
        <v>26</v>
      </c>
      <c r="C3">
        <v>1.4E-2</v>
      </c>
      <c r="D3">
        <v>0.15</v>
      </c>
      <c r="E3">
        <f t="shared" ref="E3:E14" si="0">ABS(D3-C3)/C3</f>
        <v>9.7142857142857135</v>
      </c>
      <c r="F3">
        <v>2</v>
      </c>
      <c r="G3">
        <f t="shared" ref="G3:G15" si="1">F3/SUM(F:F)</f>
        <v>4.1666666666666664E-2</v>
      </c>
      <c r="H3">
        <v>0</v>
      </c>
    </row>
    <row r="4" spans="1:11" x14ac:dyDescent="0.25">
      <c r="A4" t="s">
        <v>12</v>
      </c>
      <c r="C4">
        <v>2.8000000000000001E-2</v>
      </c>
      <c r="E4">
        <f t="shared" si="0"/>
        <v>1</v>
      </c>
      <c r="F4">
        <v>2</v>
      </c>
      <c r="G4">
        <f t="shared" si="1"/>
        <v>4.1666666666666664E-2</v>
      </c>
      <c r="H4">
        <f t="shared" ref="H4:H15" si="2">G4*(1-E4)</f>
        <v>0</v>
      </c>
    </row>
    <row r="5" spans="1:11" x14ac:dyDescent="0.25">
      <c r="A5" t="s">
        <v>13</v>
      </c>
      <c r="C5">
        <v>28</v>
      </c>
      <c r="D5">
        <v>12</v>
      </c>
      <c r="E5">
        <f t="shared" si="0"/>
        <v>0.5714285714285714</v>
      </c>
      <c r="F5">
        <v>2</v>
      </c>
      <c r="G5">
        <f t="shared" si="1"/>
        <v>4.1666666666666664E-2</v>
      </c>
      <c r="H5">
        <f t="shared" si="2"/>
        <v>1.7857142857142856E-2</v>
      </c>
    </row>
    <row r="6" spans="1:11" x14ac:dyDescent="0.25">
      <c r="A6" t="s">
        <v>14</v>
      </c>
      <c r="B6" t="s">
        <v>27</v>
      </c>
      <c r="C6">
        <v>12.712</v>
      </c>
      <c r="D6">
        <v>2.25</v>
      </c>
      <c r="E6">
        <f t="shared" si="0"/>
        <v>0.82300188797986151</v>
      </c>
      <c r="F6">
        <v>2</v>
      </c>
      <c r="G6">
        <f t="shared" si="1"/>
        <v>4.1666666666666664E-2</v>
      </c>
      <c r="H6">
        <f t="shared" si="2"/>
        <v>7.3749213341724367E-3</v>
      </c>
    </row>
    <row r="7" spans="1:11" x14ac:dyDescent="0.25">
      <c r="A7" t="s">
        <v>15</v>
      </c>
      <c r="B7" t="s">
        <v>16</v>
      </c>
      <c r="C7">
        <v>196</v>
      </c>
      <c r="D7">
        <v>30</v>
      </c>
      <c r="E7">
        <f t="shared" si="0"/>
        <v>0.84693877551020413</v>
      </c>
      <c r="F7">
        <v>2</v>
      </c>
      <c r="G7">
        <f t="shared" si="1"/>
        <v>4.1666666666666664E-2</v>
      </c>
      <c r="H7">
        <f t="shared" si="2"/>
        <v>6.3775510204081608E-3</v>
      </c>
    </row>
    <row r="8" spans="1:11" x14ac:dyDescent="0.25">
      <c r="A8" t="s">
        <v>17</v>
      </c>
      <c r="B8" t="s">
        <v>28</v>
      </c>
      <c r="C8">
        <v>12</v>
      </c>
      <c r="D8">
        <v>12</v>
      </c>
      <c r="E8">
        <f t="shared" si="0"/>
        <v>0</v>
      </c>
      <c r="F8">
        <v>1</v>
      </c>
      <c r="G8">
        <f t="shared" si="1"/>
        <v>2.0833333333333332E-2</v>
      </c>
      <c r="H8">
        <f t="shared" si="2"/>
        <v>2.0833333333333332E-2</v>
      </c>
    </row>
    <row r="9" spans="1:11" x14ac:dyDescent="0.25">
      <c r="A9" t="s">
        <v>18</v>
      </c>
      <c r="C9">
        <v>5</v>
      </c>
      <c r="E9">
        <f t="shared" si="0"/>
        <v>1</v>
      </c>
      <c r="F9">
        <v>1</v>
      </c>
      <c r="G9">
        <f t="shared" si="1"/>
        <v>2.0833333333333332E-2</v>
      </c>
      <c r="H9">
        <f t="shared" si="2"/>
        <v>0</v>
      </c>
    </row>
    <row r="10" spans="1:11" x14ac:dyDescent="0.25">
      <c r="A10" t="s">
        <v>18</v>
      </c>
      <c r="C10">
        <v>5</v>
      </c>
      <c r="E10">
        <f t="shared" si="0"/>
        <v>1</v>
      </c>
      <c r="F10">
        <v>1</v>
      </c>
      <c r="G10">
        <f t="shared" si="1"/>
        <v>2.0833333333333332E-2</v>
      </c>
      <c r="H10">
        <f t="shared" si="2"/>
        <v>0</v>
      </c>
    </row>
    <row r="11" spans="1:11" x14ac:dyDescent="0.25">
      <c r="A11" t="s">
        <v>19</v>
      </c>
      <c r="E11">
        <v>1</v>
      </c>
      <c r="F11">
        <v>1</v>
      </c>
      <c r="G11">
        <f t="shared" si="1"/>
        <v>2.0833333333333332E-2</v>
      </c>
      <c r="H11">
        <f t="shared" si="2"/>
        <v>0</v>
      </c>
    </row>
    <row r="12" spans="1:11" x14ac:dyDescent="0.25">
      <c r="A12" t="s">
        <v>20</v>
      </c>
      <c r="B12" t="s">
        <v>21</v>
      </c>
      <c r="C12">
        <v>900</v>
      </c>
      <c r="D12">
        <v>1000</v>
      </c>
      <c r="E12">
        <f t="shared" si="0"/>
        <v>0.1111111111111111</v>
      </c>
      <c r="F12">
        <v>10</v>
      </c>
      <c r="G12">
        <f t="shared" si="1"/>
        <v>0.20833333333333334</v>
      </c>
      <c r="H12">
        <f t="shared" si="2"/>
        <v>0.18518518518518517</v>
      </c>
    </row>
    <row r="13" spans="1:11" x14ac:dyDescent="0.25">
      <c r="A13" t="s">
        <v>22</v>
      </c>
      <c r="B13" t="s">
        <v>22</v>
      </c>
      <c r="C13">
        <v>2</v>
      </c>
      <c r="D13">
        <v>2</v>
      </c>
      <c r="E13">
        <f t="shared" si="0"/>
        <v>0</v>
      </c>
      <c r="F13">
        <v>10</v>
      </c>
      <c r="G13">
        <f t="shared" si="1"/>
        <v>0.20833333333333334</v>
      </c>
      <c r="H13">
        <f t="shared" si="2"/>
        <v>0.20833333333333334</v>
      </c>
    </row>
    <row r="14" spans="1:11" x14ac:dyDescent="0.25">
      <c r="A14" t="s">
        <v>23</v>
      </c>
      <c r="B14" t="s">
        <v>23</v>
      </c>
      <c r="C14">
        <v>5</v>
      </c>
      <c r="D14">
        <v>5</v>
      </c>
      <c r="E14">
        <f t="shared" si="0"/>
        <v>0</v>
      </c>
      <c r="F14">
        <v>2</v>
      </c>
      <c r="G14">
        <f t="shared" si="1"/>
        <v>4.1666666666666664E-2</v>
      </c>
      <c r="H14">
        <f t="shared" si="2"/>
        <v>4.1666666666666664E-2</v>
      </c>
    </row>
    <row r="15" spans="1:11" x14ac:dyDescent="0.25">
      <c r="A15" t="s">
        <v>24</v>
      </c>
      <c r="B15" t="s">
        <v>29</v>
      </c>
      <c r="E15">
        <v>1</v>
      </c>
      <c r="F15">
        <v>10</v>
      </c>
      <c r="G15">
        <f t="shared" si="1"/>
        <v>0.20833333333333334</v>
      </c>
      <c r="H15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2025-12-29T20:27:16Z</dcterms:modified>
</cp:coreProperties>
</file>