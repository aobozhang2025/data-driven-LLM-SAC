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65D06E2F-E4E3-4862-B60D-85B4D9B7F68B}" xr6:coauthVersionLast="47" xr6:coauthVersionMax="47" xr10:uidLastSave="{00000000-0000-0000-0000-000000000000}"/>
  <bookViews>
    <workbookView xWindow="132" yWindow="174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7" i="1"/>
  <c r="H18" i="1"/>
  <c r="H19" i="1"/>
  <c r="H20" i="1"/>
  <c r="H21" i="1"/>
  <c r="H23" i="1"/>
  <c r="H24" i="1"/>
  <c r="H25" i="1"/>
  <c r="E3" i="1"/>
  <c r="E4" i="1"/>
  <c r="E5" i="1"/>
  <c r="E6" i="1"/>
  <c r="E7" i="1"/>
  <c r="E8" i="1"/>
  <c r="E10" i="1"/>
  <c r="E11" i="1"/>
  <c r="E15" i="1"/>
  <c r="E16" i="1"/>
  <c r="E22" i="1"/>
  <c r="E23" i="1"/>
  <c r="E2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E2" i="1"/>
  <c r="K2" i="1" l="1"/>
</calcChain>
</file>

<file path=xl/sharedStrings.xml><?xml version="1.0" encoding="utf-8"?>
<sst xmlns="http://schemas.openxmlformats.org/spreadsheetml/2006/main" count="49" uniqueCount="38">
  <si>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</si>
  <si>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</si>
  <si>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</si>
  <si>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</si>
  <si>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</si>
  <si>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</si>
  <si>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</si>
  <si>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</si>
  <si>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</si>
  <si>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</si>
  <si>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558 mg</t>
    <phoneticPr fontId="1" type="noConversion"/>
  </si>
  <si>
    <t>15 mL</t>
    <phoneticPr fontId="1" type="noConversion"/>
  </si>
  <si>
    <t>616 mg</t>
    <phoneticPr fontId="1" type="noConversion"/>
  </si>
  <si>
    <t>10 min</t>
    <phoneticPr fontId="1" type="noConversion"/>
  </si>
  <si>
    <t>12 h</t>
    <phoneticPr fontId="1" type="noConversion"/>
  </si>
  <si>
    <t>3 times</t>
    <phoneticPr fontId="1" type="noConversion"/>
  </si>
  <si>
    <t>vacuum</t>
    <phoneticPr fontId="1" type="noConversion"/>
  </si>
  <si>
    <t>60 C</t>
    <phoneticPr fontId="1" type="noConversion"/>
  </si>
  <si>
    <t>overnight</t>
    <phoneticPr fontId="1" type="noConversion"/>
  </si>
  <si>
    <t>300 mg</t>
    <phoneticPr fontId="1" type="noConversion"/>
  </si>
  <si>
    <t>50 mL</t>
    <phoneticPr fontId="1" type="noConversion"/>
  </si>
  <si>
    <t>30 min</t>
    <phoneticPr fontId="1" type="noConversion"/>
  </si>
  <si>
    <t>15 mg</t>
    <phoneticPr fontId="1" type="noConversion"/>
  </si>
  <si>
    <t>5 mL</t>
    <phoneticPr fontId="1" type="noConversion"/>
  </si>
  <si>
    <t>24 h</t>
    <phoneticPr fontId="1" type="noConversion"/>
  </si>
  <si>
    <t>900 C</t>
    <phoneticPr fontId="1" type="noConversion"/>
  </si>
  <si>
    <t>5 C / min</t>
    <phoneticPr fontId="1" type="noConversion"/>
  </si>
  <si>
    <t>60 min</t>
    <phoneticPr fontId="1" type="noConversion"/>
  </si>
  <si>
    <t>N2</t>
    <phoneticPr fontId="1" type="noConversion"/>
  </si>
  <si>
    <t>5.95 g</t>
    <phoneticPr fontId="1" type="noConversion"/>
  </si>
  <si>
    <t>200 mL</t>
    <phoneticPr fontId="1" type="noConversion"/>
  </si>
  <si>
    <t>0.291 g</t>
    <phoneticPr fontId="1" type="noConversion"/>
  </si>
  <si>
    <t>13.12 g</t>
    <phoneticPr fontId="1" type="noConversion"/>
  </si>
  <si>
    <t>oven</t>
    <phoneticPr fontId="1" type="noConversion"/>
  </si>
  <si>
    <t>twice</t>
    <phoneticPr fontId="1" type="noConversion"/>
  </si>
  <si>
    <t>1000 C</t>
    <phoneticPr fontId="1" type="noConversion"/>
  </si>
  <si>
    <t>2 C / min</t>
    <phoneticPr fontId="1" type="noConversion"/>
  </si>
  <si>
    <t>2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</si>
</sst>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J3" sqref="J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29</v>
      </c>
      <c r="C2">
        <v>0.55800000000000005</v>
      </c>
      <c r="D2">
        <v>5.95</v>
      </c>
      <c r="E2">
        <f>ABS(D2-C2)/C2</f>
        <v>9.6630824372759854</v>
      </c>
      <c r="F2">
        <v>2</v>
      </c>
      <c r="G2">
        <f>F2/SUM(F:F)</f>
        <v>5.128205128205128E-2</v>
      </c>
      <c r="H2">
        <v>0</v>
      </c>
      <c r="J2">
        <v>1</v>
      </c>
      <c r="K2">
        <f>SUM(H:H)</f>
        <v>8.8888888888888892E-2</v>
      </c>
    </row>
    <row r="3" spans="1:11" x14ac:dyDescent="0.25">
      <c r="A3" t="s">
        <v>11</v>
      </c>
      <c r="B3" t="s">
        <v>30</v>
      </c>
      <c r="C3">
        <v>15</v>
      </c>
      <c r="D3">
        <v>200</v>
      </c>
      <c r="E3">
        <f t="shared" ref="E3:E25" si="0">ABS(D3-C3)/C3</f>
        <v>12.333333333333334</v>
      </c>
      <c r="F3">
        <v>2</v>
      </c>
      <c r="G3">
        <f t="shared" ref="G3:G25" si="1">F3/SUM(F:F)</f>
        <v>5.128205128205128E-2</v>
      </c>
      <c r="H3">
        <v>0</v>
      </c>
    </row>
    <row r="4" spans="1:11" x14ac:dyDescent="0.25">
      <c r="A4" t="s">
        <v>12</v>
      </c>
      <c r="B4" t="s">
        <v>32</v>
      </c>
      <c r="C4">
        <v>0.61599999999999999</v>
      </c>
      <c r="D4">
        <v>13.12</v>
      </c>
      <c r="E4">
        <f t="shared" si="0"/>
        <v>20.2987012987013</v>
      </c>
      <c r="F4">
        <v>2</v>
      </c>
      <c r="G4">
        <f t="shared" si="1"/>
        <v>5.128205128205128E-2</v>
      </c>
      <c r="H4">
        <v>0</v>
      </c>
    </row>
    <row r="5" spans="1:11" x14ac:dyDescent="0.25">
      <c r="A5" t="s">
        <v>11</v>
      </c>
      <c r="B5" t="s">
        <v>30</v>
      </c>
      <c r="C5">
        <v>15</v>
      </c>
      <c r="D5">
        <v>200</v>
      </c>
      <c r="E5">
        <f t="shared" si="0"/>
        <v>12.333333333333334</v>
      </c>
      <c r="F5">
        <v>2</v>
      </c>
      <c r="G5">
        <f t="shared" si="1"/>
        <v>5.128205128205128E-2</v>
      </c>
      <c r="H5">
        <v>0</v>
      </c>
    </row>
    <row r="6" spans="1:11" x14ac:dyDescent="0.25">
      <c r="A6" t="s">
        <v>13</v>
      </c>
      <c r="C6">
        <v>10</v>
      </c>
      <c r="E6">
        <f t="shared" si="0"/>
        <v>1</v>
      </c>
      <c r="F6">
        <v>1</v>
      </c>
      <c r="G6">
        <f t="shared" si="1"/>
        <v>2.564102564102564E-2</v>
      </c>
      <c r="H6">
        <f t="shared" ref="H3:H25" si="2">G6*(1-E6)</f>
        <v>0</v>
      </c>
    </row>
    <row r="7" spans="1:11" x14ac:dyDescent="0.25">
      <c r="A7" t="s">
        <v>14</v>
      </c>
      <c r="B7" t="s">
        <v>24</v>
      </c>
      <c r="C7">
        <v>12</v>
      </c>
      <c r="D7">
        <v>24</v>
      </c>
      <c r="E7">
        <f t="shared" si="0"/>
        <v>1</v>
      </c>
      <c r="F7">
        <v>1</v>
      </c>
      <c r="G7">
        <f t="shared" si="1"/>
        <v>2.564102564102564E-2</v>
      </c>
      <c r="H7">
        <f t="shared" si="2"/>
        <v>0</v>
      </c>
    </row>
    <row r="8" spans="1:11" x14ac:dyDescent="0.25">
      <c r="A8" t="s">
        <v>15</v>
      </c>
      <c r="B8" t="s">
        <v>34</v>
      </c>
      <c r="C8">
        <v>3</v>
      </c>
      <c r="D8">
        <v>2</v>
      </c>
      <c r="E8">
        <f t="shared" si="0"/>
        <v>0.33333333333333331</v>
      </c>
      <c r="F8">
        <v>1</v>
      </c>
      <c r="G8">
        <f t="shared" si="1"/>
        <v>2.564102564102564E-2</v>
      </c>
      <c r="H8">
        <f t="shared" si="2"/>
        <v>1.7094017094017096E-2</v>
      </c>
    </row>
    <row r="9" spans="1:11" x14ac:dyDescent="0.25">
      <c r="A9" t="s">
        <v>16</v>
      </c>
      <c r="B9" t="s">
        <v>33</v>
      </c>
      <c r="E9">
        <v>1</v>
      </c>
      <c r="F9">
        <v>1</v>
      </c>
      <c r="G9">
        <f t="shared" si="1"/>
        <v>2.564102564102564E-2</v>
      </c>
      <c r="H9">
        <f t="shared" si="2"/>
        <v>0</v>
      </c>
    </row>
    <row r="10" spans="1:11" x14ac:dyDescent="0.25">
      <c r="A10" t="s">
        <v>17</v>
      </c>
      <c r="B10" t="s">
        <v>17</v>
      </c>
      <c r="C10">
        <v>60</v>
      </c>
      <c r="D10">
        <v>60</v>
      </c>
      <c r="E10">
        <f t="shared" si="0"/>
        <v>0</v>
      </c>
      <c r="F10">
        <v>1</v>
      </c>
      <c r="G10">
        <f t="shared" si="1"/>
        <v>2.564102564102564E-2</v>
      </c>
      <c r="H10">
        <f t="shared" si="2"/>
        <v>2.564102564102564E-2</v>
      </c>
    </row>
    <row r="11" spans="1:11" x14ac:dyDescent="0.25">
      <c r="A11" t="s">
        <v>18</v>
      </c>
      <c r="B11" t="s">
        <v>14</v>
      </c>
      <c r="C11">
        <v>12</v>
      </c>
      <c r="D11">
        <v>12</v>
      </c>
      <c r="E11">
        <f t="shared" si="0"/>
        <v>0</v>
      </c>
      <c r="F11">
        <v>1</v>
      </c>
      <c r="G11">
        <f t="shared" si="1"/>
        <v>2.564102564102564E-2</v>
      </c>
      <c r="H11">
        <f t="shared" si="2"/>
        <v>2.564102564102564E-2</v>
      </c>
    </row>
    <row r="12" spans="1:11" x14ac:dyDescent="0.25">
      <c r="A12" t="s">
        <v>19</v>
      </c>
      <c r="E12">
        <v>1</v>
      </c>
      <c r="F12">
        <v>2</v>
      </c>
      <c r="G12">
        <f t="shared" si="1"/>
        <v>5.128205128205128E-2</v>
      </c>
      <c r="H12">
        <f t="shared" si="2"/>
        <v>0</v>
      </c>
    </row>
    <row r="13" spans="1:11" x14ac:dyDescent="0.25">
      <c r="A13" t="s">
        <v>20</v>
      </c>
      <c r="E13">
        <v>1</v>
      </c>
      <c r="F13">
        <v>2</v>
      </c>
      <c r="G13">
        <f t="shared" si="1"/>
        <v>5.128205128205128E-2</v>
      </c>
      <c r="H13">
        <f t="shared" si="2"/>
        <v>0</v>
      </c>
    </row>
    <row r="14" spans="1:11" x14ac:dyDescent="0.25">
      <c r="A14" t="s">
        <v>21</v>
      </c>
      <c r="E14">
        <v>1</v>
      </c>
      <c r="F14">
        <v>1</v>
      </c>
      <c r="G14">
        <f t="shared" si="1"/>
        <v>2.564102564102564E-2</v>
      </c>
      <c r="H14">
        <f t="shared" si="2"/>
        <v>0</v>
      </c>
    </row>
    <row r="15" spans="1:11" x14ac:dyDescent="0.25">
      <c r="A15" t="s">
        <v>22</v>
      </c>
      <c r="B15" t="s">
        <v>31</v>
      </c>
      <c r="C15">
        <v>1.4999999999999999E-2</v>
      </c>
      <c r="D15">
        <v>0.29099999999999998</v>
      </c>
      <c r="E15">
        <f t="shared" si="0"/>
        <v>18.399999999999999</v>
      </c>
      <c r="F15">
        <v>2</v>
      </c>
      <c r="G15">
        <f t="shared" si="1"/>
        <v>5.128205128205128E-2</v>
      </c>
      <c r="H15">
        <v>0</v>
      </c>
    </row>
    <row r="16" spans="1:11" x14ac:dyDescent="0.25">
      <c r="A16" t="s">
        <v>23</v>
      </c>
      <c r="B16" t="s">
        <v>30</v>
      </c>
      <c r="C16">
        <v>5</v>
      </c>
      <c r="D16">
        <v>200</v>
      </c>
      <c r="E16">
        <f t="shared" si="0"/>
        <v>39</v>
      </c>
      <c r="F16">
        <v>2</v>
      </c>
      <c r="G16">
        <f t="shared" si="1"/>
        <v>5.128205128205128E-2</v>
      </c>
      <c r="H16">
        <v>0</v>
      </c>
    </row>
    <row r="17" spans="1:8" x14ac:dyDescent="0.25">
      <c r="A17" t="s">
        <v>24</v>
      </c>
      <c r="E17">
        <v>1</v>
      </c>
      <c r="F17">
        <v>1</v>
      </c>
      <c r="G17">
        <f t="shared" si="1"/>
        <v>2.564102564102564E-2</v>
      </c>
      <c r="H17">
        <f t="shared" si="2"/>
        <v>0</v>
      </c>
    </row>
    <row r="18" spans="1:8" x14ac:dyDescent="0.25">
      <c r="A18" t="s">
        <v>15</v>
      </c>
      <c r="E18">
        <v>1</v>
      </c>
      <c r="F18">
        <v>1</v>
      </c>
      <c r="G18">
        <f t="shared" si="1"/>
        <v>2.564102564102564E-2</v>
      </c>
      <c r="H18">
        <f t="shared" si="2"/>
        <v>0</v>
      </c>
    </row>
    <row r="19" spans="1:8" x14ac:dyDescent="0.25">
      <c r="A19" t="s">
        <v>16</v>
      </c>
      <c r="E19">
        <v>1</v>
      </c>
      <c r="F19">
        <v>1</v>
      </c>
      <c r="G19">
        <f t="shared" si="1"/>
        <v>2.564102564102564E-2</v>
      </c>
      <c r="H19">
        <f t="shared" si="2"/>
        <v>0</v>
      </c>
    </row>
    <row r="20" spans="1:8" x14ac:dyDescent="0.25">
      <c r="A20" t="s">
        <v>17</v>
      </c>
      <c r="E20">
        <v>1</v>
      </c>
      <c r="F20">
        <v>1</v>
      </c>
      <c r="G20">
        <f t="shared" si="1"/>
        <v>2.564102564102564E-2</v>
      </c>
      <c r="H20">
        <f t="shared" si="2"/>
        <v>0</v>
      </c>
    </row>
    <row r="21" spans="1:8" x14ac:dyDescent="0.25">
      <c r="A21" t="s">
        <v>18</v>
      </c>
      <c r="E21">
        <v>1</v>
      </c>
      <c r="F21">
        <v>1</v>
      </c>
      <c r="G21">
        <f t="shared" si="1"/>
        <v>2.564102564102564E-2</v>
      </c>
      <c r="H21">
        <f t="shared" si="2"/>
        <v>0</v>
      </c>
    </row>
    <row r="22" spans="1:8" x14ac:dyDescent="0.25">
      <c r="A22" t="s">
        <v>25</v>
      </c>
      <c r="B22" t="s">
        <v>35</v>
      </c>
      <c r="C22">
        <v>900</v>
      </c>
      <c r="D22">
        <v>10000</v>
      </c>
      <c r="E22">
        <f t="shared" si="0"/>
        <v>10.111111111111111</v>
      </c>
      <c r="F22">
        <v>3</v>
      </c>
      <c r="G22">
        <f t="shared" si="1"/>
        <v>7.6923076923076927E-2</v>
      </c>
      <c r="H22">
        <v>0</v>
      </c>
    </row>
    <row r="23" spans="1:8" x14ac:dyDescent="0.25">
      <c r="A23" t="s">
        <v>26</v>
      </c>
      <c r="B23" t="s">
        <v>36</v>
      </c>
      <c r="C23">
        <v>5</v>
      </c>
      <c r="D23">
        <v>2</v>
      </c>
      <c r="E23">
        <f t="shared" si="0"/>
        <v>0.6</v>
      </c>
      <c r="F23">
        <v>2</v>
      </c>
      <c r="G23">
        <f t="shared" si="1"/>
        <v>5.128205128205128E-2</v>
      </c>
      <c r="H23">
        <f t="shared" si="2"/>
        <v>2.0512820512820513E-2</v>
      </c>
    </row>
    <row r="24" spans="1:8" x14ac:dyDescent="0.25">
      <c r="A24" t="s">
        <v>27</v>
      </c>
      <c r="B24" t="s">
        <v>37</v>
      </c>
      <c r="C24">
        <v>1</v>
      </c>
      <c r="D24">
        <v>2</v>
      </c>
      <c r="E24">
        <f t="shared" si="0"/>
        <v>1</v>
      </c>
      <c r="F24">
        <v>3</v>
      </c>
      <c r="G24">
        <f t="shared" si="1"/>
        <v>7.6923076923076927E-2</v>
      </c>
      <c r="H24">
        <f t="shared" si="2"/>
        <v>0</v>
      </c>
    </row>
    <row r="25" spans="1:8" x14ac:dyDescent="0.25">
      <c r="A25" t="s">
        <v>28</v>
      </c>
      <c r="B25" t="s">
        <v>28</v>
      </c>
      <c r="E25">
        <v>1</v>
      </c>
      <c r="F25">
        <v>3</v>
      </c>
      <c r="G25">
        <f t="shared" si="1"/>
        <v>7.6923076923076927E-2</v>
      </c>
      <c r="H25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2025-08-06T07:50:58Z</dcterms:modified>
</cp:coreProperties>
</file>