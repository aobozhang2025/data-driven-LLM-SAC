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440B92C3-3DBB-4F7A-B010-6DD76136A941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G8" i="1"/>
  <c r="G9" i="1"/>
  <c r="G10" i="1"/>
  <c r="H10" i="1" s="1"/>
  <c r="G11" i="1"/>
  <c r="H11" i="1" s="1"/>
  <c r="G12" i="1"/>
  <c r="H12" i="1" s="1"/>
  <c r="G13" i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E3" i="1"/>
  <c r="E4" i="1"/>
  <c r="E5" i="1"/>
  <c r="E6" i="1"/>
  <c r="E7" i="1"/>
  <c r="E8" i="1"/>
  <c r="E9" i="1"/>
  <c r="H9" i="1" s="1"/>
  <c r="E10" i="1"/>
  <c r="E11" i="1"/>
  <c r="E12" i="1"/>
  <c r="E13" i="1"/>
  <c r="E14" i="1"/>
  <c r="E15" i="1"/>
  <c r="E16" i="1"/>
  <c r="E17" i="1"/>
  <c r="E18" i="1"/>
  <c r="E19" i="1"/>
  <c r="E20" i="1"/>
  <c r="E21" i="1"/>
  <c r="H21" i="1" s="1"/>
  <c r="E22" i="1"/>
  <c r="H22" i="1" s="1"/>
  <c r="G2" i="1"/>
  <c r="E2" i="1"/>
  <c r="H20" i="1" l="1"/>
  <c r="H8" i="1"/>
  <c r="H19" i="1"/>
  <c r="H7" i="1"/>
  <c r="H2" i="1"/>
  <c r="K2" i="1" s="1"/>
</calcChain>
</file>

<file path=xl/sharedStrings.xml><?xml version="1.0" encoding="utf-8"?>
<sst xmlns="http://schemas.openxmlformats.org/spreadsheetml/2006/main" count="38" uniqueCount="34">
  <si>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</si>
  <si>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</si>
  <si>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</si>
  <si>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</si>
  <si>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</si>
  <si>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</si>
  <si>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</si>
  <si>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</si>
  <si>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</si>
  <si>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</si>
  <si>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40 mg</t>
    <phoneticPr fontId="1" type="noConversion"/>
  </si>
  <si>
    <t>8 mL</t>
    <phoneticPr fontId="1" type="noConversion"/>
  </si>
  <si>
    <t>0.8 mL</t>
    <phoneticPr fontId="1" type="noConversion"/>
  </si>
  <si>
    <t>800 mg</t>
    <phoneticPr fontId="1" type="noConversion"/>
  </si>
  <si>
    <t>20 min</t>
    <phoneticPr fontId="1" type="noConversion"/>
  </si>
  <si>
    <t>120 C</t>
    <phoneticPr fontId="1" type="noConversion"/>
  </si>
  <si>
    <t>24 h</t>
    <phoneticPr fontId="1" type="noConversion"/>
  </si>
  <si>
    <t>3 times</t>
    <phoneticPr fontId="1" type="noConversion"/>
  </si>
  <si>
    <t>overnight</t>
    <phoneticPr fontId="1" type="noConversion"/>
  </si>
  <si>
    <t>80 mg</t>
    <phoneticPr fontId="1" type="noConversion"/>
  </si>
  <si>
    <t>42 mg</t>
    <phoneticPr fontId="1" type="noConversion"/>
  </si>
  <si>
    <t>80 C</t>
    <phoneticPr fontId="1" type="noConversion"/>
  </si>
  <si>
    <t>4 h</t>
    <phoneticPr fontId="1" type="noConversion"/>
  </si>
  <si>
    <t>230 C</t>
    <phoneticPr fontId="1" type="noConversion"/>
  </si>
  <si>
    <t>36 h</t>
    <phoneticPr fontId="1" type="noConversion"/>
  </si>
  <si>
    <t>5 times</t>
    <phoneticPr fontId="1" type="noConversion"/>
  </si>
  <si>
    <t>500 mg</t>
    <phoneticPr fontId="1" type="noConversion"/>
  </si>
  <si>
    <t>4.2 mg</t>
    <phoneticPr fontId="1" type="noConversion"/>
  </si>
  <si>
    <t>16 mL</t>
    <phoneticPr fontId="1" type="noConversion"/>
  </si>
  <si>
    <t>0.25 mL</t>
    <phoneticPr fontId="1" type="noConversion"/>
  </si>
  <si>
    <t>60 C</t>
    <phoneticPr fontId="1" type="noConversion"/>
  </si>
  <si>
    <t>6 h</t>
    <phoneticPr fontId="1" type="noConversion"/>
  </si>
  <si>
    <t>300 C</t>
    <phoneticPr fontId="1" type="noConversion"/>
  </si>
  <si>
    <t>3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</si>
</sst>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20" sqref="A20:XFD2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40</v>
      </c>
      <c r="E2">
        <f>ABS(D2-C2)/C2</f>
        <v>1</v>
      </c>
      <c r="F2">
        <v>2</v>
      </c>
      <c r="G2">
        <f>F2/SUM(F:F)</f>
        <v>5.8823529411764705E-2</v>
      </c>
      <c r="H2">
        <f>G2*(1-E2)</f>
        <v>0</v>
      </c>
      <c r="J2">
        <v>1</v>
      </c>
      <c r="K2">
        <f>SUM(H:H)</f>
        <v>0.12976342710997443</v>
      </c>
    </row>
    <row r="3" spans="1:11" x14ac:dyDescent="0.25">
      <c r="A3" t="s">
        <v>11</v>
      </c>
      <c r="C3">
        <v>8</v>
      </c>
      <c r="E3">
        <f t="shared" ref="E3:E22" si="0">ABS(D3-C3)/C3</f>
        <v>1</v>
      </c>
      <c r="F3">
        <v>2</v>
      </c>
      <c r="G3">
        <f>F3/SUM(F:F)</f>
        <v>5.8823529411764705E-2</v>
      </c>
      <c r="H3">
        <f t="shared" ref="H3:H22" si="1">G3*(1-E3)</f>
        <v>0</v>
      </c>
    </row>
    <row r="4" spans="1:11" x14ac:dyDescent="0.25">
      <c r="A4" t="s">
        <v>12</v>
      </c>
      <c r="C4">
        <v>0.8</v>
      </c>
      <c r="E4">
        <f t="shared" si="0"/>
        <v>1</v>
      </c>
      <c r="F4">
        <v>2</v>
      </c>
      <c r="G4">
        <f>F4/SUM(F:F)</f>
        <v>5.8823529411764705E-2</v>
      </c>
      <c r="H4">
        <f t="shared" si="1"/>
        <v>0</v>
      </c>
    </row>
    <row r="5" spans="1:11" x14ac:dyDescent="0.25">
      <c r="A5" t="s">
        <v>13</v>
      </c>
      <c r="C5">
        <v>800</v>
      </c>
      <c r="E5">
        <f t="shared" si="0"/>
        <v>1</v>
      </c>
      <c r="F5">
        <v>2</v>
      </c>
      <c r="G5">
        <f>F5/SUM(F:F)</f>
        <v>5.8823529411764705E-2</v>
      </c>
      <c r="H5">
        <f t="shared" si="1"/>
        <v>0</v>
      </c>
    </row>
    <row r="6" spans="1:11" x14ac:dyDescent="0.25">
      <c r="A6" t="s">
        <v>14</v>
      </c>
      <c r="C6">
        <v>20</v>
      </c>
      <c r="E6">
        <f t="shared" si="0"/>
        <v>1</v>
      </c>
      <c r="F6">
        <v>1</v>
      </c>
      <c r="G6">
        <f>F6/SUM(F:F)</f>
        <v>2.9411764705882353E-2</v>
      </c>
      <c r="H6">
        <f t="shared" si="1"/>
        <v>0</v>
      </c>
    </row>
    <row r="7" spans="1:11" x14ac:dyDescent="0.25">
      <c r="A7" t="s">
        <v>10</v>
      </c>
      <c r="C7">
        <v>40</v>
      </c>
      <c r="E7">
        <f t="shared" si="0"/>
        <v>1</v>
      </c>
      <c r="F7">
        <v>2</v>
      </c>
      <c r="G7">
        <f>F7/SUM(F:F)</f>
        <v>5.8823529411764705E-2</v>
      </c>
      <c r="H7">
        <f t="shared" si="1"/>
        <v>0</v>
      </c>
    </row>
    <row r="8" spans="1:11" x14ac:dyDescent="0.25">
      <c r="A8" t="s">
        <v>14</v>
      </c>
      <c r="C8">
        <v>20</v>
      </c>
      <c r="E8">
        <f t="shared" si="0"/>
        <v>1</v>
      </c>
      <c r="F8">
        <v>1</v>
      </c>
      <c r="G8">
        <f>F8/SUM(F:F)</f>
        <v>2.9411764705882353E-2</v>
      </c>
      <c r="H8">
        <f t="shared" si="1"/>
        <v>0</v>
      </c>
    </row>
    <row r="9" spans="1:11" x14ac:dyDescent="0.25">
      <c r="A9" t="s">
        <v>15</v>
      </c>
      <c r="C9">
        <v>120</v>
      </c>
      <c r="E9">
        <f t="shared" si="0"/>
        <v>1</v>
      </c>
      <c r="F9">
        <v>1</v>
      </c>
      <c r="G9">
        <f>F9/SUM(F:F)</f>
        <v>2.9411764705882353E-2</v>
      </c>
      <c r="H9">
        <f t="shared" si="1"/>
        <v>0</v>
      </c>
    </row>
    <row r="10" spans="1:11" x14ac:dyDescent="0.25">
      <c r="A10" t="s">
        <v>16</v>
      </c>
      <c r="C10">
        <v>24</v>
      </c>
      <c r="E10">
        <f t="shared" si="0"/>
        <v>1</v>
      </c>
      <c r="F10">
        <v>1</v>
      </c>
      <c r="G10">
        <f>F10/SUM(F:F)</f>
        <v>2.9411764705882353E-2</v>
      </c>
      <c r="H10">
        <f t="shared" si="1"/>
        <v>0</v>
      </c>
    </row>
    <row r="11" spans="1:11" x14ac:dyDescent="0.25">
      <c r="A11" t="s">
        <v>17</v>
      </c>
      <c r="C11">
        <v>3</v>
      </c>
      <c r="E11">
        <f t="shared" si="0"/>
        <v>1</v>
      </c>
      <c r="F11">
        <v>1</v>
      </c>
      <c r="G11">
        <f>F11/SUM(F:F)</f>
        <v>2.9411764705882353E-2</v>
      </c>
      <c r="H11">
        <f t="shared" si="1"/>
        <v>0</v>
      </c>
    </row>
    <row r="12" spans="1:11" x14ac:dyDescent="0.25">
      <c r="A12" t="s">
        <v>18</v>
      </c>
      <c r="C12">
        <v>12</v>
      </c>
      <c r="E12">
        <f t="shared" si="0"/>
        <v>1</v>
      </c>
      <c r="F12">
        <v>1</v>
      </c>
      <c r="G12">
        <f>F12/SUM(F:F)</f>
        <v>2.9411764705882353E-2</v>
      </c>
      <c r="H12">
        <f t="shared" si="1"/>
        <v>0</v>
      </c>
    </row>
    <row r="13" spans="1:11" x14ac:dyDescent="0.25">
      <c r="A13" t="s">
        <v>19</v>
      </c>
      <c r="B13" t="s">
        <v>26</v>
      </c>
      <c r="C13">
        <v>80</v>
      </c>
      <c r="D13">
        <v>500</v>
      </c>
      <c r="E13">
        <f t="shared" si="0"/>
        <v>5.25</v>
      </c>
      <c r="F13">
        <v>2</v>
      </c>
      <c r="G13">
        <f>F13/SUM(F:F)</f>
        <v>5.8823529411764705E-2</v>
      </c>
      <c r="H13">
        <v>0</v>
      </c>
    </row>
    <row r="14" spans="1:11" x14ac:dyDescent="0.25">
      <c r="A14" t="s">
        <v>28</v>
      </c>
      <c r="C14">
        <v>16</v>
      </c>
      <c r="E14">
        <f t="shared" si="0"/>
        <v>1</v>
      </c>
      <c r="F14">
        <v>2</v>
      </c>
      <c r="G14">
        <f>F14/SUM(F:F)</f>
        <v>5.8823529411764705E-2</v>
      </c>
      <c r="H14">
        <f t="shared" si="1"/>
        <v>0</v>
      </c>
    </row>
    <row r="15" spans="1:11" x14ac:dyDescent="0.25">
      <c r="A15" t="s">
        <v>20</v>
      </c>
      <c r="B15" t="s">
        <v>27</v>
      </c>
      <c r="C15">
        <v>42</v>
      </c>
      <c r="D15">
        <v>4.2</v>
      </c>
      <c r="E15">
        <f t="shared" si="0"/>
        <v>0.89999999999999991</v>
      </c>
      <c r="F15">
        <v>2</v>
      </c>
      <c r="G15">
        <f>F15/SUM(F:F)</f>
        <v>5.8823529411764705E-2</v>
      </c>
      <c r="H15">
        <f t="shared" si="1"/>
        <v>5.8823529411764757E-3</v>
      </c>
    </row>
    <row r="16" spans="1:11" x14ac:dyDescent="0.25">
      <c r="A16" t="s">
        <v>12</v>
      </c>
      <c r="B16" t="s">
        <v>29</v>
      </c>
      <c r="C16">
        <v>0.8</v>
      </c>
      <c r="D16">
        <v>0.25</v>
      </c>
      <c r="E16">
        <f t="shared" si="0"/>
        <v>0.6875</v>
      </c>
      <c r="F16">
        <v>2</v>
      </c>
      <c r="G16">
        <f>F16/SUM(F:F)</f>
        <v>5.8823529411764705E-2</v>
      </c>
      <c r="H16">
        <f t="shared" si="1"/>
        <v>1.8382352941176471E-2</v>
      </c>
    </row>
    <row r="17" spans="1:8" x14ac:dyDescent="0.25">
      <c r="A17" t="s">
        <v>21</v>
      </c>
      <c r="B17" t="s">
        <v>30</v>
      </c>
      <c r="C17">
        <v>80</v>
      </c>
      <c r="D17">
        <v>60</v>
      </c>
      <c r="E17">
        <f t="shared" si="0"/>
        <v>0.25</v>
      </c>
      <c r="F17">
        <v>1</v>
      </c>
      <c r="G17">
        <f>F17/SUM(F:F)</f>
        <v>2.9411764705882353E-2</v>
      </c>
      <c r="H17">
        <f t="shared" si="1"/>
        <v>2.2058823529411763E-2</v>
      </c>
    </row>
    <row r="18" spans="1:8" x14ac:dyDescent="0.25">
      <c r="A18" t="s">
        <v>22</v>
      </c>
      <c r="B18" t="s">
        <v>31</v>
      </c>
      <c r="C18">
        <v>4</v>
      </c>
      <c r="D18">
        <v>6</v>
      </c>
      <c r="E18">
        <f t="shared" si="0"/>
        <v>0.5</v>
      </c>
      <c r="F18">
        <v>1</v>
      </c>
      <c r="G18">
        <f>F18/SUM(F:F)</f>
        <v>2.9411764705882353E-2</v>
      </c>
      <c r="H18">
        <f t="shared" si="1"/>
        <v>1.4705882352941176E-2</v>
      </c>
    </row>
    <row r="19" spans="1:8" x14ac:dyDescent="0.25">
      <c r="A19" t="s">
        <v>17</v>
      </c>
      <c r="C19">
        <v>3</v>
      </c>
      <c r="E19">
        <f t="shared" si="0"/>
        <v>1</v>
      </c>
      <c r="F19">
        <v>1</v>
      </c>
      <c r="G19">
        <f>F19/SUM(F:F)</f>
        <v>2.9411764705882353E-2</v>
      </c>
      <c r="H19">
        <f t="shared" si="1"/>
        <v>0</v>
      </c>
    </row>
    <row r="20" spans="1:8" x14ac:dyDescent="0.25">
      <c r="A20" t="s">
        <v>23</v>
      </c>
      <c r="B20" t="s">
        <v>32</v>
      </c>
      <c r="C20">
        <v>230</v>
      </c>
      <c r="D20">
        <v>300</v>
      </c>
      <c r="E20">
        <f t="shared" si="0"/>
        <v>0.30434782608695654</v>
      </c>
      <c r="F20">
        <v>3</v>
      </c>
      <c r="G20">
        <f>F20/SUM(F:F)</f>
        <v>8.8235294117647065E-2</v>
      </c>
      <c r="H20">
        <f t="shared" si="1"/>
        <v>6.1381074168797956E-2</v>
      </c>
    </row>
    <row r="21" spans="1:8" x14ac:dyDescent="0.25">
      <c r="A21" t="s">
        <v>24</v>
      </c>
      <c r="B21" t="s">
        <v>33</v>
      </c>
      <c r="C21">
        <v>36</v>
      </c>
      <c r="D21">
        <v>3</v>
      </c>
      <c r="E21">
        <f t="shared" si="0"/>
        <v>0.91666666666666663</v>
      </c>
      <c r="F21">
        <v>3</v>
      </c>
      <c r="G21">
        <f>F21/SUM(F:F)</f>
        <v>8.8235294117647065E-2</v>
      </c>
      <c r="H21">
        <f t="shared" si="1"/>
        <v>7.3529411764705916E-3</v>
      </c>
    </row>
    <row r="22" spans="1:8" x14ac:dyDescent="0.25">
      <c r="A22" t="s">
        <v>25</v>
      </c>
      <c r="C22">
        <v>5</v>
      </c>
      <c r="E22">
        <f t="shared" si="0"/>
        <v>1</v>
      </c>
      <c r="F22">
        <v>1</v>
      </c>
      <c r="G22">
        <f>F22/SUM(F:F)</f>
        <v>2.9411764705882353E-2</v>
      </c>
      <c r="H22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2025-08-07T11:59:44Z</dcterms:modified>
</cp:coreProperties>
</file>