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Llama-3-8B\"/>
    </mc:Choice>
  </mc:AlternateContent>
  <xr:revisionPtr revIDLastSave="0" documentId="13_ncr:1_{D6619B18-0A56-4C09-8DF7-9BE7D68BD245}" xr6:coauthVersionLast="47" xr6:coauthVersionMax="47" xr10:uidLastSave="{00000000-0000-0000-0000-000000000000}"/>
  <bookViews>
    <workbookView xWindow="0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H6" i="1" s="1"/>
  <c r="E8" i="1"/>
  <c r="H9" i="1"/>
  <c r="E10" i="1"/>
  <c r="H10" i="1" s="1"/>
  <c r="E11" i="1"/>
  <c r="H11" i="1" s="1"/>
  <c r="E12" i="1"/>
  <c r="H12" i="1" s="1"/>
  <c r="E13" i="1"/>
  <c r="H13" i="1" s="1"/>
  <c r="E15" i="1"/>
  <c r="E16" i="1"/>
  <c r="E17" i="1"/>
  <c r="E18" i="1"/>
  <c r="H18" i="1" s="1"/>
  <c r="E19" i="1"/>
  <c r="E20" i="1"/>
  <c r="E21" i="1"/>
  <c r="H21" i="1" s="1"/>
  <c r="H22" i="1"/>
  <c r="H3" i="1"/>
  <c r="H4" i="1"/>
  <c r="H5" i="1"/>
  <c r="H7" i="1"/>
  <c r="H8" i="1"/>
  <c r="H14" i="1"/>
  <c r="H15" i="1"/>
  <c r="H16" i="1"/>
  <c r="H17" i="1"/>
  <c r="H19" i="1"/>
  <c r="H20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" i="1"/>
  <c r="E2" i="1"/>
  <c r="H2" i="1" l="1"/>
  <c r="K2" i="1" s="1"/>
</calcChain>
</file>

<file path=xl/sharedStrings.xml><?xml version="1.0" encoding="utf-8"?>
<sst xmlns="http://schemas.openxmlformats.org/spreadsheetml/2006/main" count="41" uniqueCount="32">
  <si>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</si>
  <si>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</si>
  <si>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</si>
  <si>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</si>
  <si>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</si>
  <si>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</si>
  <si>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</si>
  <si>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</si>
  <si>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</si>
  <si>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</si>
  <si>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4.3875 g</t>
    <phoneticPr fontId="1" type="noConversion"/>
  </si>
  <si>
    <t>416 mg</t>
    <phoneticPr fontId="1" type="noConversion"/>
  </si>
  <si>
    <t>0.03 mmol</t>
    <phoneticPr fontId="1" type="noConversion"/>
  </si>
  <si>
    <t>25 mL</t>
    <phoneticPr fontId="1" type="noConversion"/>
  </si>
  <si>
    <t>1h</t>
    <phoneticPr fontId="1" type="noConversion"/>
  </si>
  <si>
    <t>freeze dry</t>
    <phoneticPr fontId="1" type="noConversion"/>
  </si>
  <si>
    <t>48 h</t>
    <phoneticPr fontId="1" type="noConversion"/>
  </si>
  <si>
    <t>Ar</t>
    <phoneticPr fontId="1" type="noConversion"/>
  </si>
  <si>
    <t>30 min</t>
    <phoneticPr fontId="1" type="noConversion"/>
  </si>
  <si>
    <t>500 C</t>
    <phoneticPr fontId="1" type="noConversion"/>
  </si>
  <si>
    <t>5 C / min</t>
    <phoneticPr fontId="1" type="noConversion"/>
  </si>
  <si>
    <t>4 h</t>
    <phoneticPr fontId="1" type="noConversion"/>
  </si>
  <si>
    <t>NH3</t>
    <phoneticPr fontId="1" type="noConversion"/>
  </si>
  <si>
    <t>2000 mL</t>
    <phoneticPr fontId="1" type="noConversion"/>
  </si>
  <si>
    <t>overnight</t>
    <phoneticPr fontId="1" type="noConversion"/>
  </si>
  <si>
    <t>80 C</t>
    <phoneticPr fontId="1" type="noConversion"/>
  </si>
  <si>
    <t>850 C</t>
    <phoneticPr fontId="1" type="noConversion"/>
  </si>
  <si>
    <t>0.15 g</t>
    <phoneticPr fontId="1" type="noConversion"/>
  </si>
  <si>
    <t>0.5 h</t>
    <phoneticPr fontId="1" type="noConversion"/>
  </si>
  <si>
    <t>900 C</t>
    <phoneticPr fontId="1" type="noConversion"/>
  </si>
  <si>
    <t>2 h</t>
    <phoneticPr fontId="1" type="noConversion"/>
  </si>
  <si>
    <t>N2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</si>
</sst>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F25" sqref="F25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C2">
        <v>4.3875000000000002</v>
      </c>
      <c r="E2">
        <f>ABS(D2-C2)/C2</f>
        <v>1</v>
      </c>
      <c r="F2">
        <v>2</v>
      </c>
      <c r="G2">
        <f>F2/SUM(F:F)</f>
        <v>4.5454545454545456E-2</v>
      </c>
      <c r="H2">
        <f>G2*(1-E2)</f>
        <v>0</v>
      </c>
      <c r="J2">
        <v>1</v>
      </c>
      <c r="K2">
        <f>SUM(H:H)</f>
        <v>0.25781130634071814</v>
      </c>
    </row>
    <row r="3" spans="1:11" x14ac:dyDescent="0.25">
      <c r="A3" t="s">
        <v>11</v>
      </c>
      <c r="C3">
        <v>416</v>
      </c>
      <c r="E3">
        <f t="shared" ref="E3:E22" si="0">ABS(D3-C3)/C3</f>
        <v>1</v>
      </c>
      <c r="F3">
        <v>2</v>
      </c>
      <c r="G3">
        <f t="shared" ref="G3:G22" si="1">F3/SUM(F:F)</f>
        <v>4.5454545454545456E-2</v>
      </c>
      <c r="H3">
        <f t="shared" ref="H3:H22" si="2">G3*(1-E3)</f>
        <v>0</v>
      </c>
    </row>
    <row r="4" spans="1:11" x14ac:dyDescent="0.25">
      <c r="A4" t="s">
        <v>12</v>
      </c>
      <c r="B4" t="s">
        <v>27</v>
      </c>
      <c r="C4">
        <v>0.71399999999999997</v>
      </c>
      <c r="D4">
        <v>0.15</v>
      </c>
      <c r="E4">
        <f t="shared" si="0"/>
        <v>0.78991596638655459</v>
      </c>
      <c r="F4">
        <v>2</v>
      </c>
      <c r="G4">
        <f t="shared" si="1"/>
        <v>4.5454545454545456E-2</v>
      </c>
      <c r="H4">
        <f t="shared" si="2"/>
        <v>9.5492742551566093E-3</v>
      </c>
    </row>
    <row r="5" spans="1:11" x14ac:dyDescent="0.25">
      <c r="A5" t="s">
        <v>13</v>
      </c>
      <c r="C5">
        <v>25</v>
      </c>
      <c r="E5">
        <f t="shared" si="0"/>
        <v>1</v>
      </c>
      <c r="F5">
        <v>2</v>
      </c>
      <c r="G5">
        <f t="shared" si="1"/>
        <v>4.5454545454545456E-2</v>
      </c>
      <c r="H5">
        <f t="shared" si="2"/>
        <v>0</v>
      </c>
    </row>
    <row r="6" spans="1:11" x14ac:dyDescent="0.25">
      <c r="A6" t="s">
        <v>14</v>
      </c>
      <c r="B6" t="s">
        <v>28</v>
      </c>
      <c r="C6">
        <v>1</v>
      </c>
      <c r="D6">
        <v>0.5</v>
      </c>
      <c r="E6">
        <f t="shared" si="0"/>
        <v>0.5</v>
      </c>
      <c r="F6">
        <v>1</v>
      </c>
      <c r="G6">
        <f t="shared" si="1"/>
        <v>2.2727272727272728E-2</v>
      </c>
      <c r="H6">
        <f t="shared" si="2"/>
        <v>1.1363636363636364E-2</v>
      </c>
    </row>
    <row r="7" spans="1:11" x14ac:dyDescent="0.25">
      <c r="A7" t="s">
        <v>15</v>
      </c>
      <c r="E7">
        <v>1</v>
      </c>
      <c r="F7">
        <v>3</v>
      </c>
      <c r="G7">
        <f t="shared" si="1"/>
        <v>6.8181818181818177E-2</v>
      </c>
      <c r="H7">
        <f t="shared" si="2"/>
        <v>0</v>
      </c>
    </row>
    <row r="8" spans="1:11" x14ac:dyDescent="0.25">
      <c r="A8" t="s">
        <v>16</v>
      </c>
      <c r="C8">
        <v>48</v>
      </c>
      <c r="E8">
        <f t="shared" si="0"/>
        <v>1</v>
      </c>
      <c r="F8">
        <v>3</v>
      </c>
      <c r="G8">
        <f t="shared" si="1"/>
        <v>6.8181818181818177E-2</v>
      </c>
      <c r="H8">
        <f t="shared" si="2"/>
        <v>0</v>
      </c>
    </row>
    <row r="9" spans="1:11" x14ac:dyDescent="0.25">
      <c r="A9" t="s">
        <v>17</v>
      </c>
      <c r="E9">
        <v>1</v>
      </c>
      <c r="F9">
        <v>1</v>
      </c>
      <c r="G9">
        <f t="shared" si="1"/>
        <v>2.2727272727272728E-2</v>
      </c>
      <c r="H9">
        <f t="shared" si="2"/>
        <v>0</v>
      </c>
    </row>
    <row r="10" spans="1:11" x14ac:dyDescent="0.25">
      <c r="A10" t="s">
        <v>18</v>
      </c>
      <c r="C10">
        <v>30</v>
      </c>
      <c r="E10">
        <f t="shared" si="0"/>
        <v>1</v>
      </c>
      <c r="F10">
        <v>1</v>
      </c>
      <c r="G10">
        <f t="shared" si="1"/>
        <v>2.2727272727272728E-2</v>
      </c>
      <c r="H10">
        <f t="shared" si="2"/>
        <v>0</v>
      </c>
    </row>
    <row r="11" spans="1:11" x14ac:dyDescent="0.25">
      <c r="A11" t="s">
        <v>19</v>
      </c>
      <c r="B11" t="s">
        <v>29</v>
      </c>
      <c r="C11">
        <v>500</v>
      </c>
      <c r="D11">
        <v>900</v>
      </c>
      <c r="E11">
        <f t="shared" si="0"/>
        <v>0.8</v>
      </c>
      <c r="F11">
        <v>3</v>
      </c>
      <c r="G11">
        <f t="shared" si="1"/>
        <v>6.8181818181818177E-2</v>
      </c>
      <c r="H11">
        <f t="shared" si="2"/>
        <v>1.3636363636363632E-2</v>
      </c>
    </row>
    <row r="12" spans="1:11" x14ac:dyDescent="0.25">
      <c r="A12" t="s">
        <v>20</v>
      </c>
      <c r="B12" t="s">
        <v>20</v>
      </c>
      <c r="C12">
        <v>5</v>
      </c>
      <c r="D12">
        <v>5</v>
      </c>
      <c r="E12">
        <f t="shared" si="0"/>
        <v>0</v>
      </c>
      <c r="F12">
        <v>2</v>
      </c>
      <c r="G12">
        <f t="shared" si="1"/>
        <v>4.5454545454545456E-2</v>
      </c>
      <c r="H12">
        <f t="shared" si="2"/>
        <v>4.5454545454545456E-2</v>
      </c>
    </row>
    <row r="13" spans="1:11" x14ac:dyDescent="0.25">
      <c r="A13" t="s">
        <v>21</v>
      </c>
      <c r="B13" t="s">
        <v>30</v>
      </c>
      <c r="C13">
        <v>4</v>
      </c>
      <c r="D13">
        <v>2</v>
      </c>
      <c r="E13">
        <f t="shared" si="0"/>
        <v>0.5</v>
      </c>
      <c r="F13">
        <v>3</v>
      </c>
      <c r="G13">
        <f t="shared" si="1"/>
        <v>6.8181818181818177E-2</v>
      </c>
      <c r="H13">
        <f t="shared" si="2"/>
        <v>3.4090909090909088E-2</v>
      </c>
    </row>
    <row r="14" spans="1:11" x14ac:dyDescent="0.25">
      <c r="A14" t="s">
        <v>22</v>
      </c>
      <c r="B14" t="s">
        <v>31</v>
      </c>
      <c r="E14">
        <v>1</v>
      </c>
      <c r="F14">
        <v>3</v>
      </c>
      <c r="G14">
        <f t="shared" si="1"/>
        <v>6.8181818181818177E-2</v>
      </c>
      <c r="H14">
        <f t="shared" si="2"/>
        <v>0</v>
      </c>
    </row>
    <row r="15" spans="1:11" x14ac:dyDescent="0.25">
      <c r="A15" t="s">
        <v>23</v>
      </c>
      <c r="C15">
        <v>2000</v>
      </c>
      <c r="E15">
        <f t="shared" si="0"/>
        <v>1</v>
      </c>
      <c r="F15">
        <v>2</v>
      </c>
      <c r="G15">
        <f t="shared" si="1"/>
        <v>4.5454545454545456E-2</v>
      </c>
      <c r="H15">
        <f t="shared" si="2"/>
        <v>0</v>
      </c>
    </row>
    <row r="16" spans="1:11" x14ac:dyDescent="0.25">
      <c r="A16" t="s">
        <v>24</v>
      </c>
      <c r="C16">
        <v>12</v>
      </c>
      <c r="E16">
        <f t="shared" si="0"/>
        <v>1</v>
      </c>
      <c r="F16">
        <v>1</v>
      </c>
      <c r="G16">
        <f t="shared" si="1"/>
        <v>2.2727272727272728E-2</v>
      </c>
      <c r="H16">
        <f t="shared" si="2"/>
        <v>0</v>
      </c>
    </row>
    <row r="17" spans="1:8" x14ac:dyDescent="0.25">
      <c r="A17" t="s">
        <v>25</v>
      </c>
      <c r="C17">
        <v>80</v>
      </c>
      <c r="E17">
        <f t="shared" si="0"/>
        <v>1</v>
      </c>
      <c r="F17">
        <v>1</v>
      </c>
      <c r="G17">
        <f t="shared" si="1"/>
        <v>2.2727272727272728E-2</v>
      </c>
      <c r="H17">
        <f t="shared" si="2"/>
        <v>0</v>
      </c>
    </row>
    <row r="18" spans="1:8" x14ac:dyDescent="0.25">
      <c r="A18" t="s">
        <v>24</v>
      </c>
      <c r="C18">
        <v>12</v>
      </c>
      <c r="E18">
        <f t="shared" si="0"/>
        <v>1</v>
      </c>
      <c r="F18">
        <v>1</v>
      </c>
      <c r="G18">
        <f t="shared" si="1"/>
        <v>2.2727272727272728E-2</v>
      </c>
      <c r="H18">
        <f t="shared" si="2"/>
        <v>0</v>
      </c>
    </row>
    <row r="19" spans="1:8" x14ac:dyDescent="0.25">
      <c r="A19" t="s">
        <v>26</v>
      </c>
      <c r="B19" t="s">
        <v>29</v>
      </c>
      <c r="C19">
        <v>850</v>
      </c>
      <c r="D19">
        <v>900</v>
      </c>
      <c r="E19">
        <f t="shared" si="0"/>
        <v>5.8823529411764705E-2</v>
      </c>
      <c r="F19">
        <v>3</v>
      </c>
      <c r="G19">
        <f t="shared" si="1"/>
        <v>6.8181818181818177E-2</v>
      </c>
      <c r="H19">
        <f t="shared" si="2"/>
        <v>6.4171122994652399E-2</v>
      </c>
    </row>
    <row r="20" spans="1:8" x14ac:dyDescent="0.25">
      <c r="A20" t="s">
        <v>20</v>
      </c>
      <c r="B20" t="s">
        <v>20</v>
      </c>
      <c r="C20">
        <v>5</v>
      </c>
      <c r="D20">
        <v>5</v>
      </c>
      <c r="E20">
        <f t="shared" si="0"/>
        <v>0</v>
      </c>
      <c r="F20">
        <v>2</v>
      </c>
      <c r="G20">
        <f t="shared" si="1"/>
        <v>4.5454545454545456E-2</v>
      </c>
      <c r="H20">
        <f t="shared" si="2"/>
        <v>4.5454545454545456E-2</v>
      </c>
    </row>
    <row r="21" spans="1:8" x14ac:dyDescent="0.25">
      <c r="A21" t="s">
        <v>21</v>
      </c>
      <c r="B21" t="s">
        <v>30</v>
      </c>
      <c r="C21">
        <v>4</v>
      </c>
      <c r="D21">
        <v>2</v>
      </c>
      <c r="E21">
        <f t="shared" si="0"/>
        <v>0.5</v>
      </c>
      <c r="F21">
        <v>3</v>
      </c>
      <c r="G21">
        <f t="shared" si="1"/>
        <v>6.8181818181818177E-2</v>
      </c>
      <c r="H21">
        <f t="shared" si="2"/>
        <v>3.4090909090909088E-2</v>
      </c>
    </row>
    <row r="22" spans="1:8" x14ac:dyDescent="0.25">
      <c r="A22" t="s">
        <v>17</v>
      </c>
      <c r="B22" t="s">
        <v>31</v>
      </c>
      <c r="E22">
        <v>1</v>
      </c>
      <c r="F22">
        <v>3</v>
      </c>
      <c r="G22">
        <f t="shared" si="1"/>
        <v>6.8181818181818177E-2</v>
      </c>
      <c r="H22">
        <f t="shared" si="2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2025-08-06T13:44:07Z</dcterms:modified>
</cp:coreProperties>
</file>