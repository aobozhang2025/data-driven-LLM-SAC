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18240553-3B4E-42C2-BD36-5E3415E21B03}" xr6:coauthVersionLast="47" xr6:coauthVersionMax="47" xr10:uidLastSave="{00000000-0000-0000-0000-000000000000}"/>
  <bookViews>
    <workbookView xWindow="384" yWindow="40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<sst xmlns="http://schemas.openxmlformats.org/spreadsheetml/2006/main" count="46" uniqueCount="36">
  <si>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</si>
  <si>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</si>
  <si>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</si>
  <si>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</si>
  <si>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</si>
  <si>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</si>
  <si>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</si>
  <si>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</si>
  <si>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</si>
  <si>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</si>
  <si>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 mL</t>
    <phoneticPr fontId="1" type="noConversion"/>
  </si>
  <si>
    <t>1.161 g</t>
    <phoneticPr fontId="1" type="noConversion"/>
  </si>
  <si>
    <t>1.069 g</t>
    <phoneticPr fontId="1" type="noConversion"/>
  </si>
  <si>
    <t>5 min</t>
    <phoneticPr fontId="1" type="noConversion"/>
  </si>
  <si>
    <t>120 C</t>
    <phoneticPr fontId="1" type="noConversion"/>
  </si>
  <si>
    <t>4 h</t>
    <phoneticPr fontId="1" type="noConversion"/>
  </si>
  <si>
    <t>5 times</t>
    <phoneticPr fontId="1" type="noConversion"/>
  </si>
  <si>
    <t>70 C</t>
    <phoneticPr fontId="1" type="noConversion"/>
  </si>
  <si>
    <t>overnight</t>
    <phoneticPr fontId="1" type="noConversion"/>
  </si>
  <si>
    <t>100 mg</t>
    <phoneticPr fontId="1" type="noConversion"/>
  </si>
  <si>
    <t>30 mL</t>
    <phoneticPr fontId="1" type="noConversion"/>
  </si>
  <si>
    <t>10 mg</t>
    <phoneticPr fontId="1" type="noConversion"/>
  </si>
  <si>
    <t>40 C</t>
    <phoneticPr fontId="1" type="noConversion"/>
  </si>
  <si>
    <t>16 hours</t>
    <phoneticPr fontId="1" type="noConversion"/>
  </si>
  <si>
    <t>argon</t>
    <phoneticPr fontId="1" type="noConversion"/>
  </si>
  <si>
    <t>950 C</t>
    <phoneticPr fontId="1" type="noConversion"/>
  </si>
  <si>
    <t>3 h</t>
    <phoneticPr fontId="1" type="noConversion"/>
  </si>
  <si>
    <t>5 C / min</t>
    <phoneticPr fontId="1" type="noConversion"/>
  </si>
  <si>
    <t>2.0 g</t>
    <phoneticPr fontId="1" type="noConversion"/>
  </si>
  <si>
    <t>0.8 g</t>
    <phoneticPr fontId="1" type="noConversion"/>
  </si>
  <si>
    <t>100 mL</t>
    <phoneticPr fontId="1" type="noConversion"/>
  </si>
  <si>
    <t>30 min</t>
    <phoneticPr fontId="1" type="noConversion"/>
  </si>
  <si>
    <t>180 C</t>
    <phoneticPr fontId="1" type="noConversion"/>
  </si>
  <si>
    <t>3 days</t>
    <phoneticPr fontId="1" type="noConversion"/>
  </si>
  <si>
    <t>4 C</t>
    <phoneticPr fontId="1" type="noConversion"/>
  </si>
  <si>
    <t>400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</si>
</sst>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J12" sqref="J1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12</v>
      </c>
      <c r="B2" t="s">
        <v>28</v>
      </c>
      <c r="C2">
        <v>1.069</v>
      </c>
      <c r="D2">
        <v>2</v>
      </c>
      <c r="E2">
        <f>ABS(D2-C2)/C2</f>
        <v>0.87090739008419094</v>
      </c>
      <c r="F2">
        <v>2</v>
      </c>
      <c r="G2">
        <f>F2/SUM(F:F)</f>
        <v>4.6511627906976744E-2</v>
      </c>
      <c r="H2">
        <f>G2*(1-E2)</f>
        <v>6.0043074379446072E-3</v>
      </c>
      <c r="J2">
        <v>1</v>
      </c>
      <c r="K2">
        <f>SUM(H:H)</f>
        <v>0.26161547495170528</v>
      </c>
    </row>
    <row r="3" spans="1:11" x14ac:dyDescent="0.25">
      <c r="A3" t="s">
        <v>10</v>
      </c>
      <c r="B3" t="s">
        <v>30</v>
      </c>
      <c r="C3">
        <v>20</v>
      </c>
      <c r="D3">
        <v>100</v>
      </c>
      <c r="E3">
        <f t="shared" ref="E3:E24" si="0">ABS(D3-C3)/C3</f>
        <v>4</v>
      </c>
      <c r="F3">
        <v>2</v>
      </c>
      <c r="G3">
        <f t="shared" ref="G3:G24" si="1">F3/SUM(F:F)</f>
        <v>4.6511627906976744E-2</v>
      </c>
      <c r="H3">
        <v>0</v>
      </c>
    </row>
    <row r="4" spans="1:11" x14ac:dyDescent="0.25">
      <c r="A4" t="s">
        <v>11</v>
      </c>
      <c r="B4" t="s">
        <v>29</v>
      </c>
      <c r="C4">
        <v>1.161</v>
      </c>
      <c r="D4">
        <v>0.8</v>
      </c>
      <c r="E4">
        <f t="shared" si="0"/>
        <v>0.31093884582256676</v>
      </c>
      <c r="F4">
        <v>2</v>
      </c>
      <c r="G4">
        <f t="shared" si="1"/>
        <v>4.6511627906976744E-2</v>
      </c>
      <c r="H4">
        <f t="shared" ref="H3:H24" si="2">G4*(1-E4)</f>
        <v>3.2049356008252705E-2</v>
      </c>
    </row>
    <row r="5" spans="1:11" x14ac:dyDescent="0.25">
      <c r="A5" t="s">
        <v>10</v>
      </c>
      <c r="B5" t="s">
        <v>30</v>
      </c>
      <c r="C5">
        <v>20</v>
      </c>
      <c r="D5">
        <v>100</v>
      </c>
      <c r="E5">
        <f t="shared" si="0"/>
        <v>4</v>
      </c>
      <c r="F5">
        <v>2</v>
      </c>
      <c r="G5">
        <f t="shared" si="1"/>
        <v>4.6511627906976744E-2</v>
      </c>
      <c r="H5">
        <v>0</v>
      </c>
    </row>
    <row r="6" spans="1:11" x14ac:dyDescent="0.25">
      <c r="A6" t="s">
        <v>13</v>
      </c>
      <c r="B6" t="s">
        <v>31</v>
      </c>
      <c r="C6">
        <v>5</v>
      </c>
      <c r="D6">
        <v>30</v>
      </c>
      <c r="E6">
        <f t="shared" si="0"/>
        <v>5</v>
      </c>
      <c r="F6">
        <v>2</v>
      </c>
      <c r="G6">
        <f t="shared" si="1"/>
        <v>4.6511627906976744E-2</v>
      </c>
      <c r="H6">
        <v>0</v>
      </c>
    </row>
    <row r="7" spans="1:11" x14ac:dyDescent="0.25">
      <c r="A7" t="s">
        <v>14</v>
      </c>
      <c r="B7" t="s">
        <v>32</v>
      </c>
      <c r="C7">
        <v>120</v>
      </c>
      <c r="D7">
        <v>180</v>
      </c>
      <c r="E7">
        <f t="shared" si="0"/>
        <v>0.5</v>
      </c>
      <c r="F7">
        <v>3</v>
      </c>
      <c r="G7">
        <f t="shared" si="1"/>
        <v>6.9767441860465115E-2</v>
      </c>
      <c r="H7">
        <f t="shared" si="2"/>
        <v>3.4883720930232558E-2</v>
      </c>
    </row>
    <row r="8" spans="1:11" x14ac:dyDescent="0.25">
      <c r="A8" t="s">
        <v>15</v>
      </c>
      <c r="B8" t="s">
        <v>33</v>
      </c>
      <c r="C8">
        <v>4</v>
      </c>
      <c r="D8">
        <v>72</v>
      </c>
      <c r="E8">
        <f t="shared" si="0"/>
        <v>17</v>
      </c>
      <c r="F8">
        <v>3</v>
      </c>
      <c r="G8">
        <f t="shared" si="1"/>
        <v>6.9767441860465115E-2</v>
      </c>
      <c r="H8">
        <v>0</v>
      </c>
    </row>
    <row r="9" spans="1:11" x14ac:dyDescent="0.25">
      <c r="A9" t="s">
        <v>16</v>
      </c>
      <c r="C9">
        <v>5</v>
      </c>
      <c r="E9">
        <f t="shared" si="0"/>
        <v>1</v>
      </c>
      <c r="F9">
        <v>1</v>
      </c>
      <c r="G9">
        <f t="shared" si="1"/>
        <v>2.3255813953488372E-2</v>
      </c>
      <c r="H9">
        <f t="shared" si="2"/>
        <v>0</v>
      </c>
    </row>
    <row r="10" spans="1:11" x14ac:dyDescent="0.25">
      <c r="A10" t="s">
        <v>17</v>
      </c>
      <c r="C10">
        <v>70</v>
      </c>
      <c r="E10">
        <f t="shared" si="0"/>
        <v>1</v>
      </c>
      <c r="F10">
        <v>1</v>
      </c>
      <c r="G10">
        <f t="shared" si="1"/>
        <v>2.3255813953488372E-2</v>
      </c>
      <c r="H10">
        <f t="shared" si="2"/>
        <v>0</v>
      </c>
    </row>
    <row r="11" spans="1:11" x14ac:dyDescent="0.25">
      <c r="A11" t="s">
        <v>18</v>
      </c>
      <c r="C11">
        <v>12</v>
      </c>
      <c r="E11">
        <f t="shared" si="0"/>
        <v>1</v>
      </c>
      <c r="F11">
        <v>1</v>
      </c>
      <c r="G11">
        <f t="shared" si="1"/>
        <v>2.3255813953488372E-2</v>
      </c>
      <c r="H11">
        <f t="shared" si="2"/>
        <v>0</v>
      </c>
    </row>
    <row r="12" spans="1:11" x14ac:dyDescent="0.25">
      <c r="A12" t="s">
        <v>19</v>
      </c>
      <c r="B12" t="s">
        <v>19</v>
      </c>
      <c r="C12">
        <v>100</v>
      </c>
      <c r="D12">
        <v>100</v>
      </c>
      <c r="E12">
        <f t="shared" si="0"/>
        <v>0</v>
      </c>
      <c r="F12">
        <v>2</v>
      </c>
      <c r="G12">
        <f t="shared" si="1"/>
        <v>4.6511627906976744E-2</v>
      </c>
      <c r="H12">
        <f t="shared" si="2"/>
        <v>4.6511627906976744E-2</v>
      </c>
    </row>
    <row r="13" spans="1:11" x14ac:dyDescent="0.25">
      <c r="A13" t="s">
        <v>20</v>
      </c>
      <c r="B13" t="s">
        <v>20</v>
      </c>
      <c r="C13">
        <v>30</v>
      </c>
      <c r="D13">
        <v>30</v>
      </c>
      <c r="E13">
        <f t="shared" si="0"/>
        <v>0</v>
      </c>
      <c r="F13">
        <v>2</v>
      </c>
      <c r="G13">
        <f t="shared" si="1"/>
        <v>4.6511627906976744E-2</v>
      </c>
      <c r="H13">
        <f t="shared" si="2"/>
        <v>4.6511627906976744E-2</v>
      </c>
    </row>
    <row r="14" spans="1:11" x14ac:dyDescent="0.25">
      <c r="A14" t="s">
        <v>21</v>
      </c>
      <c r="C14">
        <v>10</v>
      </c>
      <c r="E14">
        <f t="shared" si="0"/>
        <v>1</v>
      </c>
      <c r="F14">
        <v>2</v>
      </c>
      <c r="G14">
        <f t="shared" si="1"/>
        <v>4.6511627906976744E-2</v>
      </c>
      <c r="H14">
        <f t="shared" si="2"/>
        <v>0</v>
      </c>
    </row>
    <row r="15" spans="1:11" x14ac:dyDescent="0.25">
      <c r="A15" t="s">
        <v>10</v>
      </c>
      <c r="C15">
        <v>20</v>
      </c>
      <c r="E15">
        <f t="shared" si="0"/>
        <v>1</v>
      </c>
      <c r="F15">
        <v>2</v>
      </c>
      <c r="G15">
        <f t="shared" si="1"/>
        <v>4.6511627906976744E-2</v>
      </c>
      <c r="H15">
        <f t="shared" si="2"/>
        <v>0</v>
      </c>
    </row>
    <row r="16" spans="1:11" x14ac:dyDescent="0.25">
      <c r="A16" t="s">
        <v>22</v>
      </c>
      <c r="B16" t="s">
        <v>34</v>
      </c>
      <c r="C16">
        <v>40</v>
      </c>
      <c r="D16">
        <v>4</v>
      </c>
      <c r="E16">
        <f t="shared" si="0"/>
        <v>0.9</v>
      </c>
      <c r="F16">
        <v>1</v>
      </c>
      <c r="G16">
        <f t="shared" si="1"/>
        <v>2.3255813953488372E-2</v>
      </c>
      <c r="H16">
        <f t="shared" si="2"/>
        <v>2.3255813953488367E-3</v>
      </c>
    </row>
    <row r="17" spans="1:8" x14ac:dyDescent="0.25">
      <c r="A17" t="s">
        <v>23</v>
      </c>
      <c r="B17" t="s">
        <v>18</v>
      </c>
      <c r="C17">
        <v>16</v>
      </c>
      <c r="D17">
        <v>12</v>
      </c>
      <c r="E17">
        <f t="shared" si="0"/>
        <v>0.25</v>
      </c>
      <c r="F17">
        <v>1</v>
      </c>
      <c r="G17">
        <f t="shared" si="1"/>
        <v>2.3255813953488372E-2</v>
      </c>
      <c r="H17">
        <f t="shared" si="2"/>
        <v>1.7441860465116279E-2</v>
      </c>
    </row>
    <row r="18" spans="1:8" x14ac:dyDescent="0.25">
      <c r="A18" t="s">
        <v>16</v>
      </c>
      <c r="C18">
        <v>5</v>
      </c>
      <c r="E18">
        <f t="shared" si="0"/>
        <v>1</v>
      </c>
      <c r="F18">
        <v>1</v>
      </c>
      <c r="G18">
        <f t="shared" si="1"/>
        <v>2.3255813953488372E-2</v>
      </c>
      <c r="H18">
        <f t="shared" si="2"/>
        <v>0</v>
      </c>
    </row>
    <row r="19" spans="1:8" x14ac:dyDescent="0.25">
      <c r="A19" t="s">
        <v>24</v>
      </c>
      <c r="E19">
        <v>1</v>
      </c>
      <c r="F19">
        <v>3</v>
      </c>
      <c r="G19">
        <f t="shared" si="1"/>
        <v>6.9767441860465115E-2</v>
      </c>
      <c r="H19">
        <f t="shared" si="2"/>
        <v>0</v>
      </c>
    </row>
    <row r="20" spans="1:8" x14ac:dyDescent="0.25">
      <c r="A20" t="s">
        <v>25</v>
      </c>
      <c r="B20" t="s">
        <v>35</v>
      </c>
      <c r="C20">
        <v>950</v>
      </c>
      <c r="D20">
        <v>400</v>
      </c>
      <c r="E20">
        <f t="shared" si="0"/>
        <v>0.57894736842105265</v>
      </c>
      <c r="F20">
        <v>3</v>
      </c>
      <c r="G20">
        <f t="shared" si="1"/>
        <v>6.9767441860465115E-2</v>
      </c>
      <c r="H20">
        <f t="shared" si="2"/>
        <v>2.9375764993880046E-2</v>
      </c>
    </row>
    <row r="21" spans="1:8" x14ac:dyDescent="0.25">
      <c r="A21" t="s">
        <v>26</v>
      </c>
      <c r="B21" t="s">
        <v>15</v>
      </c>
      <c r="C21">
        <v>3</v>
      </c>
      <c r="D21">
        <v>4</v>
      </c>
      <c r="E21">
        <f t="shared" si="0"/>
        <v>0.33333333333333331</v>
      </c>
      <c r="F21">
        <v>3</v>
      </c>
      <c r="G21">
        <f t="shared" si="1"/>
        <v>6.9767441860465115E-2</v>
      </c>
      <c r="H21">
        <f t="shared" si="2"/>
        <v>4.651162790697675E-2</v>
      </c>
    </row>
    <row r="22" spans="1:8" x14ac:dyDescent="0.25">
      <c r="A22" t="s">
        <v>27</v>
      </c>
      <c r="C22">
        <v>5</v>
      </c>
      <c r="E22">
        <f t="shared" si="0"/>
        <v>1</v>
      </c>
      <c r="F22">
        <v>2</v>
      </c>
      <c r="G22">
        <f t="shared" si="1"/>
        <v>4.6511627906976744E-2</v>
      </c>
      <c r="H22">
        <f t="shared" si="2"/>
        <v>0</v>
      </c>
    </row>
    <row r="23" spans="1:8" x14ac:dyDescent="0.25">
      <c r="A23" t="s">
        <v>17</v>
      </c>
      <c r="C23">
        <v>70</v>
      </c>
      <c r="E23">
        <f t="shared" si="0"/>
        <v>1</v>
      </c>
      <c r="F23">
        <v>1</v>
      </c>
      <c r="G23">
        <f t="shared" si="1"/>
        <v>2.3255813953488372E-2</v>
      </c>
      <c r="H23">
        <f t="shared" si="2"/>
        <v>0</v>
      </c>
    </row>
    <row r="24" spans="1:8" x14ac:dyDescent="0.25">
      <c r="A24" t="s">
        <v>18</v>
      </c>
      <c r="C24">
        <v>12</v>
      </c>
      <c r="E24">
        <f t="shared" si="0"/>
        <v>1</v>
      </c>
      <c r="F24">
        <v>1</v>
      </c>
      <c r="G24">
        <f t="shared" si="1"/>
        <v>2.3255813953488372E-2</v>
      </c>
      <c r="H2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2025-08-06T09:00:15Z</dcterms:modified>
</cp:coreProperties>
</file>